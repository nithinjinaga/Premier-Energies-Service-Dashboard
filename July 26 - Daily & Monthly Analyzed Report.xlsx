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ithin\Dashboard cumulative\"/>
    </mc:Choice>
  </mc:AlternateContent>
  <xr:revisionPtr revIDLastSave="0" documentId="13_ncr:1_{DDB83BC5-99AC-4BD8-A42F-6921174E8163}" xr6:coauthVersionLast="47" xr6:coauthVersionMax="47" xr10:uidLastSave="{00000000-0000-0000-0000-000000000000}"/>
  <bookViews>
    <workbookView xWindow="-110" yWindow="-110" windowWidth="19420" windowHeight="10300" activeTab="3" xr2:uid="{80831DDE-1DF5-444B-A42B-2875F698836D}"/>
  </bookViews>
  <sheets>
    <sheet name="Dashboard" sheetId="8" r:id="rId1"/>
    <sheet name="MSI Report" sheetId="3" r:id="rId2"/>
    <sheet name="Daily Report July -26 " sheetId="2" r:id="rId3"/>
    <sheet name="Monthly Report July-26" sheetId="1" r:id="rId4"/>
  </sheets>
  <definedNames>
    <definedName name="_xlnm._FilterDatabase" localSheetId="2" hidden="1">'Daily Report July -26 '!$A$1:$N$58</definedName>
    <definedName name="_xlnm._FilterDatabase" localSheetId="3" hidden="1">'Monthly Report July-26'!$A$1:$AB$882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9" i="3" l="1"/>
  <c r="K68" i="3"/>
  <c r="K67" i="3"/>
  <c r="K66" i="3"/>
  <c r="D21" i="3"/>
  <c r="D22" i="3"/>
  <c r="D20" i="3"/>
  <c r="D23" i="3"/>
  <c r="D24" i="3"/>
  <c r="D25" i="3"/>
  <c r="D26" i="3"/>
  <c r="D27" i="3"/>
  <c r="D28" i="3"/>
  <c r="D29" i="3"/>
  <c r="D30" i="3"/>
  <c r="D19" i="3"/>
  <c r="B12" i="3"/>
  <c r="J69" i="3"/>
  <c r="J68" i="3"/>
  <c r="J67" i="3"/>
  <c r="J66" i="3"/>
  <c r="I69" i="3"/>
  <c r="I68" i="3"/>
  <c r="I67" i="3"/>
  <c r="I66" i="3"/>
  <c r="D31" i="3" l="1"/>
  <c r="D76" i="3"/>
  <c r="D82" i="3"/>
  <c r="D84" i="3"/>
  <c r="D85" i="3"/>
  <c r="D86" i="3"/>
  <c r="D87" i="3"/>
  <c r="D88" i="3"/>
  <c r="D89" i="3"/>
  <c r="D91" i="3"/>
  <c r="D92" i="3"/>
  <c r="D93" i="3"/>
  <c r="D94" i="3"/>
  <c r="D95" i="3"/>
  <c r="C76" i="3"/>
  <c r="C77" i="3"/>
  <c r="C78" i="3"/>
  <c r="C79" i="3"/>
  <c r="C80" i="3"/>
  <c r="C83" i="3"/>
  <c r="C85" i="3"/>
  <c r="C86" i="3"/>
  <c r="C87" i="3"/>
  <c r="C88" i="3"/>
  <c r="C89" i="3"/>
  <c r="C90" i="3"/>
  <c r="C92" i="3"/>
  <c r="C93" i="3"/>
  <c r="C94" i="3"/>
  <c r="C95" i="3"/>
  <c r="B79" i="3"/>
  <c r="B80" i="3"/>
  <c r="B81" i="3"/>
  <c r="B82" i="3"/>
  <c r="B83" i="3"/>
  <c r="B84" i="3"/>
  <c r="B89" i="3"/>
  <c r="B90" i="3"/>
  <c r="B91" i="3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C81" i="3" s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D90" i="3" s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B93" i="3" s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2" i="1"/>
  <c r="B76" i="3" l="1"/>
  <c r="D75" i="3"/>
  <c r="C74" i="3"/>
  <c r="B92" i="3"/>
  <c r="C75" i="3"/>
  <c r="D78" i="3"/>
  <c r="D80" i="3"/>
  <c r="D74" i="3"/>
  <c r="B95" i="3"/>
  <c r="E95" i="3" s="1"/>
  <c r="D81" i="3"/>
  <c r="B75" i="3"/>
  <c r="B74" i="3"/>
  <c r="B77" i="3"/>
  <c r="B94" i="3"/>
  <c r="E94" i="3" s="1"/>
  <c r="C82" i="3"/>
  <c r="B78" i="3"/>
  <c r="C91" i="3"/>
  <c r="D79" i="3"/>
  <c r="D77" i="3"/>
  <c r="B88" i="3"/>
  <c r="B87" i="3"/>
  <c r="D83" i="3"/>
  <c r="B86" i="3"/>
  <c r="C84" i="3"/>
  <c r="B85" i="3"/>
  <c r="D96" i="3" l="1"/>
  <c r="C96" i="3"/>
  <c r="B96" i="3"/>
  <c r="I49" i="3" l="1"/>
  <c r="I39" i="3"/>
  <c r="I37" i="3"/>
  <c r="I38" i="3"/>
  <c r="I40" i="3"/>
  <c r="I36" i="3"/>
  <c r="I20" i="3"/>
  <c r="I21" i="3"/>
  <c r="I22" i="3"/>
  <c r="I23" i="3"/>
  <c r="I24" i="3"/>
  <c r="I25" i="3"/>
  <c r="I26" i="3"/>
  <c r="I27" i="3"/>
  <c r="I28" i="3"/>
  <c r="I19" i="3"/>
  <c r="I29" i="3" l="1"/>
  <c r="J24" i="3" s="1"/>
  <c r="J25" i="3" l="1"/>
  <c r="J26" i="3"/>
  <c r="J28" i="3"/>
  <c r="J19" i="3"/>
  <c r="J23" i="3"/>
  <c r="J27" i="3"/>
  <c r="J22" i="3"/>
  <c r="J20" i="3"/>
  <c r="J21" i="3"/>
  <c r="J29" i="3" l="1"/>
  <c r="Y9" i="1" l="1"/>
  <c r="R383" i="1"/>
  <c r="R384" i="1"/>
  <c r="R385" i="1"/>
  <c r="R386" i="1"/>
  <c r="R387" i="1"/>
  <c r="R382" i="1"/>
  <c r="Q383" i="1"/>
  <c r="Q384" i="1"/>
  <c r="Q385" i="1"/>
  <c r="Q386" i="1"/>
  <c r="Q387" i="1"/>
  <c r="Q382" i="1"/>
  <c r="B29" i="2"/>
  <c r="D70" i="3"/>
  <c r="C70" i="3"/>
  <c r="B70" i="3"/>
  <c r="C28" i="3"/>
  <c r="C29" i="3"/>
  <c r="C30" i="3"/>
  <c r="C20" i="3"/>
  <c r="C21" i="3"/>
  <c r="C22" i="3"/>
  <c r="C23" i="3"/>
  <c r="C24" i="3"/>
  <c r="C25" i="3"/>
  <c r="C26" i="3"/>
  <c r="C27" i="3"/>
  <c r="C19" i="3"/>
  <c r="B19" i="3"/>
  <c r="B29" i="3"/>
  <c r="B30" i="3"/>
  <c r="B20" i="3"/>
  <c r="B21" i="3"/>
  <c r="B22" i="3"/>
  <c r="B23" i="3"/>
  <c r="B24" i="3"/>
  <c r="B25" i="3"/>
  <c r="B26" i="3"/>
  <c r="B27" i="3"/>
  <c r="B28" i="3"/>
  <c r="E6" i="3" l="1"/>
  <c r="B13" i="3"/>
  <c r="B11" i="3"/>
  <c r="D69" i="3"/>
  <c r="C69" i="3"/>
  <c r="B69" i="3"/>
  <c r="D68" i="3"/>
  <c r="C68" i="3"/>
  <c r="B68" i="3"/>
  <c r="D67" i="3"/>
  <c r="C67" i="3"/>
  <c r="B67" i="3"/>
  <c r="D66" i="3"/>
  <c r="C66" i="3"/>
  <c r="B66" i="3"/>
  <c r="D65" i="3"/>
  <c r="C65" i="3"/>
  <c r="B65" i="3"/>
  <c r="D64" i="3"/>
  <c r="C64" i="3"/>
  <c r="B64" i="3"/>
  <c r="D63" i="3"/>
  <c r="C63" i="3"/>
  <c r="B63" i="3"/>
  <c r="D62" i="3"/>
  <c r="C62" i="3"/>
  <c r="B62" i="3"/>
  <c r="D61" i="3"/>
  <c r="C61" i="3"/>
  <c r="B61" i="3"/>
  <c r="D60" i="3"/>
  <c r="C60" i="3"/>
  <c r="B60" i="3"/>
  <c r="D59" i="3"/>
  <c r="C59" i="3"/>
  <c r="B59" i="3"/>
  <c r="D58" i="3"/>
  <c r="C58" i="3"/>
  <c r="B58" i="3"/>
  <c r="D57" i="3"/>
  <c r="C57" i="3"/>
  <c r="B57" i="3"/>
  <c r="D56" i="3"/>
  <c r="C56" i="3"/>
  <c r="B56" i="3"/>
  <c r="D55" i="3"/>
  <c r="C55" i="3"/>
  <c r="B55" i="3"/>
  <c r="D54" i="3"/>
  <c r="C54" i="3"/>
  <c r="B54" i="3"/>
  <c r="D53" i="3"/>
  <c r="C53" i="3"/>
  <c r="B53" i="3"/>
  <c r="D52" i="3"/>
  <c r="C52" i="3"/>
  <c r="B52" i="3"/>
  <c r="D51" i="3"/>
  <c r="C51" i="3"/>
  <c r="B51" i="3"/>
  <c r="D50" i="3"/>
  <c r="C50" i="3"/>
  <c r="B50" i="3"/>
  <c r="D49" i="3"/>
  <c r="C49" i="3"/>
  <c r="B49" i="3"/>
  <c r="I48" i="3"/>
  <c r="D48" i="3"/>
  <c r="C48" i="3"/>
  <c r="B48" i="3"/>
  <c r="I47" i="3"/>
  <c r="D47" i="3"/>
  <c r="C47" i="3"/>
  <c r="B47" i="3"/>
  <c r="I46" i="3"/>
  <c r="D46" i="3"/>
  <c r="C46" i="3"/>
  <c r="B46" i="3"/>
  <c r="D45" i="3"/>
  <c r="C45" i="3"/>
  <c r="B45" i="3"/>
  <c r="D44" i="3"/>
  <c r="C44" i="3"/>
  <c r="B44" i="3"/>
  <c r="D43" i="3"/>
  <c r="C43" i="3"/>
  <c r="B43" i="3"/>
  <c r="D42" i="3"/>
  <c r="C42" i="3"/>
  <c r="B42" i="3"/>
  <c r="D41" i="3"/>
  <c r="C41" i="3"/>
  <c r="B41" i="3"/>
  <c r="D40" i="3"/>
  <c r="C40" i="3"/>
  <c r="B40" i="3"/>
  <c r="O18" i="3"/>
  <c r="B16" i="2"/>
  <c r="C6" i="3" l="1"/>
  <c r="E6" i="8"/>
  <c r="D6" i="3"/>
  <c r="H6" i="8"/>
  <c r="E93" i="3"/>
  <c r="E82" i="3"/>
  <c r="E77" i="3"/>
  <c r="E81" i="3"/>
  <c r="E85" i="3"/>
  <c r="E89" i="3"/>
  <c r="E80" i="3"/>
  <c r="E84" i="3"/>
  <c r="E92" i="3"/>
  <c r="E74" i="3"/>
  <c r="E78" i="3"/>
  <c r="E86" i="3"/>
  <c r="E90" i="3"/>
  <c r="E76" i="3"/>
  <c r="E88" i="3"/>
  <c r="I50" i="3"/>
  <c r="J47" i="3" s="1"/>
  <c r="I41" i="3"/>
  <c r="J37" i="3" s="1"/>
  <c r="E75" i="3"/>
  <c r="E79" i="3"/>
  <c r="E83" i="3"/>
  <c r="E87" i="3"/>
  <c r="E91" i="3"/>
  <c r="B10" i="3"/>
  <c r="Y882" i="1"/>
  <c r="Q882" i="1"/>
  <c r="R882" i="1"/>
  <c r="B58" i="2"/>
  <c r="E96" i="3" l="1"/>
  <c r="B6" i="3"/>
  <c r="B6" i="8"/>
  <c r="J46" i="3"/>
  <c r="J48" i="3"/>
  <c r="J49" i="3"/>
  <c r="J36" i="3"/>
  <c r="J38" i="3"/>
  <c r="J39" i="3"/>
  <c r="J40" i="3"/>
  <c r="D11" i="3"/>
  <c r="D10" i="3"/>
  <c r="Q845" i="1"/>
  <c r="R845" i="1"/>
  <c r="Y845" i="1"/>
  <c r="Q846" i="1"/>
  <c r="R846" i="1"/>
  <c r="Y846" i="1"/>
  <c r="Q847" i="1"/>
  <c r="R847" i="1"/>
  <c r="Y847" i="1"/>
  <c r="Q848" i="1"/>
  <c r="R848" i="1"/>
  <c r="Y848" i="1"/>
  <c r="Q849" i="1"/>
  <c r="R849" i="1"/>
  <c r="Y849" i="1"/>
  <c r="Q850" i="1"/>
  <c r="R850" i="1"/>
  <c r="Y850" i="1"/>
  <c r="Q851" i="1"/>
  <c r="R851" i="1"/>
  <c r="Y851" i="1"/>
  <c r="Q852" i="1"/>
  <c r="R852" i="1"/>
  <c r="Y852" i="1"/>
  <c r="Q853" i="1"/>
  <c r="R853" i="1"/>
  <c r="Y853" i="1"/>
  <c r="Q854" i="1"/>
  <c r="R854" i="1"/>
  <c r="Y854" i="1"/>
  <c r="Q855" i="1"/>
  <c r="R855" i="1"/>
  <c r="Y855" i="1"/>
  <c r="Q856" i="1"/>
  <c r="R856" i="1"/>
  <c r="Y856" i="1"/>
  <c r="Q857" i="1"/>
  <c r="R857" i="1"/>
  <c r="Y857" i="1"/>
  <c r="Q858" i="1"/>
  <c r="R858" i="1"/>
  <c r="Y858" i="1"/>
  <c r="Q859" i="1"/>
  <c r="R859" i="1"/>
  <c r="Y859" i="1"/>
  <c r="Q860" i="1"/>
  <c r="R860" i="1"/>
  <c r="Y860" i="1"/>
  <c r="Q861" i="1"/>
  <c r="R861" i="1"/>
  <c r="Y861" i="1"/>
  <c r="Q862" i="1"/>
  <c r="R862" i="1"/>
  <c r="Y862" i="1"/>
  <c r="Q863" i="1"/>
  <c r="R863" i="1"/>
  <c r="Y863" i="1"/>
  <c r="Q864" i="1"/>
  <c r="R864" i="1"/>
  <c r="Y864" i="1"/>
  <c r="Q865" i="1"/>
  <c r="R865" i="1"/>
  <c r="Y865" i="1"/>
  <c r="Q866" i="1"/>
  <c r="R866" i="1"/>
  <c r="Y866" i="1"/>
  <c r="Q867" i="1"/>
  <c r="R867" i="1"/>
  <c r="Y867" i="1"/>
  <c r="Q868" i="1"/>
  <c r="R868" i="1"/>
  <c r="Y868" i="1"/>
  <c r="Q869" i="1"/>
  <c r="R869" i="1"/>
  <c r="Y869" i="1"/>
  <c r="Q870" i="1"/>
  <c r="R870" i="1"/>
  <c r="Y870" i="1"/>
  <c r="Q871" i="1"/>
  <c r="R871" i="1"/>
  <c r="Y871" i="1"/>
  <c r="Q872" i="1"/>
  <c r="R872" i="1"/>
  <c r="Y872" i="1"/>
  <c r="Q873" i="1"/>
  <c r="R873" i="1"/>
  <c r="Y873" i="1"/>
  <c r="Q874" i="1"/>
  <c r="R874" i="1"/>
  <c r="Y874" i="1"/>
  <c r="Q875" i="1"/>
  <c r="R875" i="1"/>
  <c r="Y875" i="1"/>
  <c r="Q876" i="1"/>
  <c r="R876" i="1"/>
  <c r="Y876" i="1"/>
  <c r="Q877" i="1"/>
  <c r="R877" i="1"/>
  <c r="Y877" i="1"/>
  <c r="Q878" i="1"/>
  <c r="R878" i="1"/>
  <c r="Y878" i="1"/>
  <c r="Q879" i="1"/>
  <c r="R879" i="1"/>
  <c r="Y879" i="1"/>
  <c r="Q880" i="1"/>
  <c r="R880" i="1"/>
  <c r="Y880" i="1"/>
  <c r="Q881" i="1"/>
  <c r="R881" i="1"/>
  <c r="Y881" i="1"/>
  <c r="Y844" i="1"/>
  <c r="Q844" i="1"/>
  <c r="R844" i="1"/>
  <c r="B57" i="2"/>
  <c r="Y835" i="1"/>
  <c r="R835" i="1"/>
  <c r="Q835" i="1"/>
  <c r="R832" i="1"/>
  <c r="Q832" i="1"/>
  <c r="R830" i="1"/>
  <c r="Q830" i="1"/>
  <c r="Y832" i="1"/>
  <c r="Y830" i="1"/>
  <c r="Y843" i="1"/>
  <c r="R843" i="1"/>
  <c r="Q843" i="1"/>
  <c r="Y842" i="1"/>
  <c r="R842" i="1"/>
  <c r="Q842" i="1"/>
  <c r="Y841" i="1"/>
  <c r="R841" i="1"/>
  <c r="Q841" i="1"/>
  <c r="Y840" i="1"/>
  <c r="R840" i="1"/>
  <c r="Q840" i="1"/>
  <c r="Y839" i="1"/>
  <c r="R839" i="1"/>
  <c r="Q839" i="1"/>
  <c r="Y838" i="1"/>
  <c r="R838" i="1"/>
  <c r="Q838" i="1"/>
  <c r="Y837" i="1"/>
  <c r="R837" i="1"/>
  <c r="Q837" i="1"/>
  <c r="Y836" i="1"/>
  <c r="R836" i="1"/>
  <c r="Q836" i="1"/>
  <c r="Y834" i="1"/>
  <c r="R834" i="1"/>
  <c r="Q834" i="1"/>
  <c r="Y833" i="1"/>
  <c r="R833" i="1"/>
  <c r="Q833" i="1"/>
  <c r="Y831" i="1"/>
  <c r="R831" i="1"/>
  <c r="Q831" i="1"/>
  <c r="Y829" i="1"/>
  <c r="R829" i="1"/>
  <c r="Q829" i="1"/>
  <c r="Y828" i="1"/>
  <c r="R828" i="1"/>
  <c r="Q828" i="1"/>
  <c r="Y827" i="1"/>
  <c r="R827" i="1"/>
  <c r="Q827" i="1"/>
  <c r="Y826" i="1"/>
  <c r="R826" i="1"/>
  <c r="Q826" i="1"/>
  <c r="Y825" i="1"/>
  <c r="R825" i="1"/>
  <c r="Q825" i="1"/>
  <c r="Y824" i="1"/>
  <c r="R824" i="1"/>
  <c r="Q824" i="1"/>
  <c r="Y823" i="1"/>
  <c r="R823" i="1"/>
  <c r="Q823" i="1"/>
  <c r="Y822" i="1"/>
  <c r="R822" i="1"/>
  <c r="Q822" i="1"/>
  <c r="Y821" i="1"/>
  <c r="R821" i="1"/>
  <c r="Q821" i="1"/>
  <c r="Y820" i="1"/>
  <c r="R820" i="1"/>
  <c r="Q820" i="1"/>
  <c r="Y819" i="1"/>
  <c r="R819" i="1"/>
  <c r="Q819" i="1"/>
  <c r="Y818" i="1"/>
  <c r="R818" i="1"/>
  <c r="Q818" i="1"/>
  <c r="Y815" i="1"/>
  <c r="Y816" i="1"/>
  <c r="R815" i="1"/>
  <c r="R816" i="1"/>
  <c r="Q815" i="1"/>
  <c r="Q816" i="1"/>
  <c r="B56" i="2"/>
  <c r="B55" i="2"/>
  <c r="Y817" i="1"/>
  <c r="R817" i="1"/>
  <c r="Q817" i="1"/>
  <c r="Y814" i="1"/>
  <c r="Q814" i="1"/>
  <c r="R814" i="1"/>
  <c r="B54" i="2"/>
  <c r="Q783" i="1"/>
  <c r="R783" i="1"/>
  <c r="Y783" i="1"/>
  <c r="Q784" i="1"/>
  <c r="R784" i="1"/>
  <c r="Y784" i="1"/>
  <c r="Q785" i="1"/>
  <c r="R785" i="1"/>
  <c r="Y785" i="1"/>
  <c r="Q786" i="1"/>
  <c r="R786" i="1"/>
  <c r="Y786" i="1"/>
  <c r="Q787" i="1"/>
  <c r="R787" i="1"/>
  <c r="Y787" i="1"/>
  <c r="Q788" i="1"/>
  <c r="R788" i="1"/>
  <c r="Y788" i="1"/>
  <c r="Q789" i="1"/>
  <c r="R789" i="1"/>
  <c r="Y789" i="1"/>
  <c r="Q790" i="1"/>
  <c r="R790" i="1"/>
  <c r="Y790" i="1"/>
  <c r="Q791" i="1"/>
  <c r="R791" i="1"/>
  <c r="Y791" i="1"/>
  <c r="Q792" i="1"/>
  <c r="R792" i="1"/>
  <c r="Y792" i="1"/>
  <c r="Q793" i="1"/>
  <c r="R793" i="1"/>
  <c r="Y793" i="1"/>
  <c r="Q794" i="1"/>
  <c r="R794" i="1"/>
  <c r="Y794" i="1"/>
  <c r="Q795" i="1"/>
  <c r="R795" i="1"/>
  <c r="Y795" i="1"/>
  <c r="Q796" i="1"/>
  <c r="R796" i="1"/>
  <c r="Y796" i="1"/>
  <c r="Q797" i="1"/>
  <c r="R797" i="1"/>
  <c r="Y797" i="1"/>
  <c r="Q798" i="1"/>
  <c r="R798" i="1"/>
  <c r="Y798" i="1"/>
  <c r="Q799" i="1"/>
  <c r="R799" i="1"/>
  <c r="Y799" i="1"/>
  <c r="Q800" i="1"/>
  <c r="R800" i="1"/>
  <c r="Y800" i="1"/>
  <c r="Q801" i="1"/>
  <c r="R801" i="1"/>
  <c r="Y801" i="1"/>
  <c r="Q802" i="1"/>
  <c r="R802" i="1"/>
  <c r="Y802" i="1"/>
  <c r="Q803" i="1"/>
  <c r="R803" i="1"/>
  <c r="Y803" i="1"/>
  <c r="Q804" i="1"/>
  <c r="R804" i="1"/>
  <c r="Y804" i="1"/>
  <c r="Q805" i="1"/>
  <c r="R805" i="1"/>
  <c r="Y805" i="1"/>
  <c r="Q806" i="1"/>
  <c r="R806" i="1"/>
  <c r="Y806" i="1"/>
  <c r="Q807" i="1"/>
  <c r="R807" i="1"/>
  <c r="Y807" i="1"/>
  <c r="Q808" i="1"/>
  <c r="R808" i="1"/>
  <c r="Y808" i="1"/>
  <c r="Q809" i="1"/>
  <c r="R809" i="1"/>
  <c r="Y809" i="1"/>
  <c r="Q810" i="1"/>
  <c r="R810" i="1"/>
  <c r="Y810" i="1"/>
  <c r="Q811" i="1"/>
  <c r="R811" i="1"/>
  <c r="Y811" i="1"/>
  <c r="Q812" i="1"/>
  <c r="R812" i="1"/>
  <c r="Y812" i="1"/>
  <c r="Q813" i="1"/>
  <c r="R813" i="1"/>
  <c r="Y813" i="1"/>
  <c r="Y782" i="1"/>
  <c r="R782" i="1"/>
  <c r="Q782" i="1"/>
  <c r="B53" i="2"/>
  <c r="Y777" i="1"/>
  <c r="Y778" i="1"/>
  <c r="Y779" i="1"/>
  <c r="Y780" i="1"/>
  <c r="Y781" i="1"/>
  <c r="Q776" i="1"/>
  <c r="R776" i="1"/>
  <c r="Q777" i="1"/>
  <c r="R777" i="1"/>
  <c r="Q778" i="1"/>
  <c r="R778" i="1"/>
  <c r="Q779" i="1"/>
  <c r="R779" i="1"/>
  <c r="Q780" i="1"/>
  <c r="R780" i="1"/>
  <c r="Q781" i="1"/>
  <c r="R781" i="1"/>
  <c r="Y776" i="1"/>
  <c r="B52" i="2"/>
  <c r="Y775" i="1"/>
  <c r="Q775" i="1"/>
  <c r="R775" i="1"/>
  <c r="B51" i="2"/>
  <c r="Y774" i="1"/>
  <c r="R774" i="1"/>
  <c r="Q774" i="1"/>
  <c r="B50" i="2"/>
  <c r="Q742" i="1"/>
  <c r="R742" i="1"/>
  <c r="Y742" i="1"/>
  <c r="Q743" i="1"/>
  <c r="R743" i="1"/>
  <c r="Y743" i="1"/>
  <c r="Q744" i="1"/>
  <c r="R744" i="1"/>
  <c r="Y744" i="1"/>
  <c r="Q745" i="1"/>
  <c r="R745" i="1"/>
  <c r="Y745" i="1"/>
  <c r="Q746" i="1"/>
  <c r="R746" i="1"/>
  <c r="Y746" i="1"/>
  <c r="Q747" i="1"/>
  <c r="R747" i="1"/>
  <c r="Y747" i="1"/>
  <c r="Q748" i="1"/>
  <c r="R748" i="1"/>
  <c r="Y748" i="1"/>
  <c r="Q749" i="1"/>
  <c r="R749" i="1"/>
  <c r="Y749" i="1"/>
  <c r="Q750" i="1"/>
  <c r="R750" i="1"/>
  <c r="Y750" i="1"/>
  <c r="Q751" i="1"/>
  <c r="R751" i="1"/>
  <c r="Y751" i="1"/>
  <c r="Q752" i="1"/>
  <c r="R752" i="1"/>
  <c r="Y752" i="1"/>
  <c r="Q753" i="1"/>
  <c r="R753" i="1"/>
  <c r="Y753" i="1"/>
  <c r="Q754" i="1"/>
  <c r="R754" i="1"/>
  <c r="Y754" i="1"/>
  <c r="Q755" i="1"/>
  <c r="R755" i="1"/>
  <c r="Y755" i="1"/>
  <c r="Q756" i="1"/>
  <c r="R756" i="1"/>
  <c r="Y756" i="1"/>
  <c r="Q757" i="1"/>
  <c r="R757" i="1"/>
  <c r="Y757" i="1"/>
  <c r="Q758" i="1"/>
  <c r="R758" i="1"/>
  <c r="Y758" i="1"/>
  <c r="Q759" i="1"/>
  <c r="R759" i="1"/>
  <c r="Y759" i="1"/>
  <c r="Q760" i="1"/>
  <c r="R760" i="1"/>
  <c r="Y760" i="1"/>
  <c r="Q761" i="1"/>
  <c r="R761" i="1"/>
  <c r="Y761" i="1"/>
  <c r="Q762" i="1"/>
  <c r="R762" i="1"/>
  <c r="Y762" i="1"/>
  <c r="Q763" i="1"/>
  <c r="R763" i="1"/>
  <c r="Y763" i="1"/>
  <c r="Q764" i="1"/>
  <c r="R764" i="1"/>
  <c r="Y764" i="1"/>
  <c r="Q765" i="1"/>
  <c r="R765" i="1"/>
  <c r="Y765" i="1"/>
  <c r="Q766" i="1"/>
  <c r="R766" i="1"/>
  <c r="Y766" i="1"/>
  <c r="Q767" i="1"/>
  <c r="R767" i="1"/>
  <c r="Y767" i="1"/>
  <c r="Q768" i="1"/>
  <c r="R768" i="1"/>
  <c r="Y768" i="1"/>
  <c r="Q769" i="1"/>
  <c r="R769" i="1"/>
  <c r="Y769" i="1"/>
  <c r="Q770" i="1"/>
  <c r="R770" i="1"/>
  <c r="Y770" i="1"/>
  <c r="Q771" i="1"/>
  <c r="R771" i="1"/>
  <c r="Y771" i="1"/>
  <c r="Q772" i="1"/>
  <c r="R772" i="1"/>
  <c r="Y772" i="1"/>
  <c r="Q773" i="1"/>
  <c r="R773" i="1"/>
  <c r="Y773" i="1"/>
  <c r="Y741" i="1"/>
  <c r="Q741" i="1"/>
  <c r="R741" i="1"/>
  <c r="B49" i="2"/>
  <c r="F6" i="3" l="1"/>
  <c r="K6" i="8"/>
  <c r="J50" i="3"/>
  <c r="J41" i="3"/>
  <c r="Q699" i="1"/>
  <c r="R699" i="1"/>
  <c r="Y699" i="1"/>
  <c r="Q700" i="1"/>
  <c r="R700" i="1"/>
  <c r="Y700" i="1"/>
  <c r="Q701" i="1"/>
  <c r="R701" i="1"/>
  <c r="Y701" i="1"/>
  <c r="Q702" i="1"/>
  <c r="R702" i="1"/>
  <c r="Y702" i="1"/>
  <c r="Q703" i="1"/>
  <c r="R703" i="1"/>
  <c r="Y703" i="1"/>
  <c r="Q704" i="1"/>
  <c r="R704" i="1"/>
  <c r="Y704" i="1"/>
  <c r="Q705" i="1"/>
  <c r="R705" i="1"/>
  <c r="Y705" i="1"/>
  <c r="Q706" i="1"/>
  <c r="R706" i="1"/>
  <c r="Y706" i="1"/>
  <c r="Q707" i="1"/>
  <c r="R707" i="1"/>
  <c r="Y707" i="1"/>
  <c r="Q708" i="1"/>
  <c r="R708" i="1"/>
  <c r="Y708" i="1"/>
  <c r="Q709" i="1"/>
  <c r="R709" i="1"/>
  <c r="Y709" i="1"/>
  <c r="Q710" i="1"/>
  <c r="R710" i="1"/>
  <c r="Y710" i="1"/>
  <c r="Q711" i="1"/>
  <c r="R711" i="1"/>
  <c r="Y711" i="1"/>
  <c r="Q712" i="1"/>
  <c r="R712" i="1"/>
  <c r="Y712" i="1"/>
  <c r="Q713" i="1"/>
  <c r="R713" i="1"/>
  <c r="Y713" i="1"/>
  <c r="Q714" i="1"/>
  <c r="R714" i="1"/>
  <c r="Y714" i="1"/>
  <c r="Q715" i="1"/>
  <c r="R715" i="1"/>
  <c r="Y715" i="1"/>
  <c r="Q716" i="1"/>
  <c r="R716" i="1"/>
  <c r="Y716" i="1"/>
  <c r="Q717" i="1"/>
  <c r="R717" i="1"/>
  <c r="Y717" i="1"/>
  <c r="Q718" i="1"/>
  <c r="R718" i="1"/>
  <c r="Y718" i="1"/>
  <c r="Q719" i="1"/>
  <c r="R719" i="1"/>
  <c r="Y719" i="1"/>
  <c r="Q720" i="1"/>
  <c r="R720" i="1"/>
  <c r="Y720" i="1"/>
  <c r="Q721" i="1"/>
  <c r="R721" i="1"/>
  <c r="Y721" i="1"/>
  <c r="Q722" i="1"/>
  <c r="R722" i="1"/>
  <c r="Y722" i="1"/>
  <c r="Q723" i="1"/>
  <c r="R723" i="1"/>
  <c r="Y723" i="1"/>
  <c r="Q724" i="1"/>
  <c r="R724" i="1"/>
  <c r="Y724" i="1"/>
  <c r="Q725" i="1"/>
  <c r="R725" i="1"/>
  <c r="Y725" i="1"/>
  <c r="Q726" i="1"/>
  <c r="R726" i="1"/>
  <c r="Y726" i="1"/>
  <c r="Q727" i="1"/>
  <c r="R727" i="1"/>
  <c r="Y727" i="1"/>
  <c r="Q728" i="1"/>
  <c r="R728" i="1"/>
  <c r="Y728" i="1"/>
  <c r="Q729" i="1"/>
  <c r="R729" i="1"/>
  <c r="Y729" i="1"/>
  <c r="Q730" i="1"/>
  <c r="R730" i="1"/>
  <c r="Y730" i="1"/>
  <c r="Q731" i="1"/>
  <c r="R731" i="1"/>
  <c r="Y731" i="1"/>
  <c r="Q732" i="1"/>
  <c r="R732" i="1"/>
  <c r="Y732" i="1"/>
  <c r="Q733" i="1"/>
  <c r="R733" i="1"/>
  <c r="Y733" i="1"/>
  <c r="Q734" i="1"/>
  <c r="R734" i="1"/>
  <c r="Y734" i="1"/>
  <c r="Q735" i="1"/>
  <c r="R735" i="1"/>
  <c r="Y735" i="1"/>
  <c r="Q736" i="1"/>
  <c r="R736" i="1"/>
  <c r="Y736" i="1"/>
  <c r="Q737" i="1"/>
  <c r="R737" i="1"/>
  <c r="Y737" i="1"/>
  <c r="Q738" i="1"/>
  <c r="R738" i="1"/>
  <c r="Y738" i="1"/>
  <c r="Q739" i="1"/>
  <c r="R739" i="1"/>
  <c r="Y739" i="1"/>
  <c r="Q740" i="1"/>
  <c r="R740" i="1"/>
  <c r="Y740" i="1"/>
  <c r="Y698" i="1"/>
  <c r="R698" i="1"/>
  <c r="Q698" i="1"/>
  <c r="B48" i="2"/>
  <c r="Y697" i="1"/>
  <c r="Q697" i="1"/>
  <c r="R697" i="1"/>
  <c r="B47" i="2"/>
  <c r="Y696" i="1"/>
  <c r="Q696" i="1"/>
  <c r="R696" i="1"/>
  <c r="B46" i="2"/>
  <c r="Y695" i="1"/>
  <c r="Y694" i="1"/>
  <c r="Y693" i="1"/>
  <c r="Y692" i="1"/>
  <c r="Y691" i="1"/>
  <c r="Y690" i="1"/>
  <c r="Y689" i="1"/>
  <c r="Y688" i="1"/>
  <c r="Q689" i="1"/>
  <c r="R689" i="1"/>
  <c r="Q690" i="1"/>
  <c r="R690" i="1"/>
  <c r="Q691" i="1"/>
  <c r="R691" i="1"/>
  <c r="Q692" i="1"/>
  <c r="R692" i="1"/>
  <c r="Q693" i="1"/>
  <c r="R693" i="1"/>
  <c r="Q694" i="1"/>
  <c r="R694" i="1"/>
  <c r="Q695" i="1"/>
  <c r="R695" i="1"/>
  <c r="Q688" i="1"/>
  <c r="R688" i="1"/>
  <c r="B45" i="2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Q670" i="1"/>
  <c r="R670" i="1"/>
  <c r="Q671" i="1"/>
  <c r="R671" i="1"/>
  <c r="Q672" i="1"/>
  <c r="R672" i="1"/>
  <c r="Q673" i="1"/>
  <c r="R673" i="1"/>
  <c r="Q674" i="1"/>
  <c r="R674" i="1"/>
  <c r="Q675" i="1"/>
  <c r="R675" i="1"/>
  <c r="Q676" i="1"/>
  <c r="R676" i="1"/>
  <c r="Q677" i="1"/>
  <c r="R677" i="1"/>
  <c r="Q678" i="1"/>
  <c r="R678" i="1"/>
  <c r="Q679" i="1"/>
  <c r="R679" i="1"/>
  <c r="Q680" i="1"/>
  <c r="R680" i="1"/>
  <c r="Q681" i="1"/>
  <c r="R681" i="1"/>
  <c r="Q682" i="1"/>
  <c r="R682" i="1"/>
  <c r="Q683" i="1"/>
  <c r="R683" i="1"/>
  <c r="Q684" i="1"/>
  <c r="R684" i="1"/>
  <c r="Q685" i="1"/>
  <c r="R685" i="1"/>
  <c r="Q686" i="1"/>
  <c r="R686" i="1"/>
  <c r="Q687" i="1"/>
  <c r="R687" i="1"/>
  <c r="Y670" i="1"/>
  <c r="B44" i="2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Q596" i="1"/>
  <c r="R596" i="1"/>
  <c r="Q597" i="1"/>
  <c r="R597" i="1"/>
  <c r="Q598" i="1"/>
  <c r="R598" i="1"/>
  <c r="Q599" i="1"/>
  <c r="R599" i="1"/>
  <c r="Q600" i="1"/>
  <c r="R600" i="1"/>
  <c r="Q601" i="1"/>
  <c r="R601" i="1"/>
  <c r="Q602" i="1"/>
  <c r="R602" i="1"/>
  <c r="Q603" i="1"/>
  <c r="R603" i="1"/>
  <c r="Q604" i="1"/>
  <c r="R604" i="1"/>
  <c r="Q605" i="1"/>
  <c r="R605" i="1"/>
  <c r="Q606" i="1"/>
  <c r="R606" i="1"/>
  <c r="Q607" i="1"/>
  <c r="R607" i="1"/>
  <c r="Q608" i="1"/>
  <c r="R608" i="1"/>
  <c r="Q609" i="1"/>
  <c r="R609" i="1"/>
  <c r="Q610" i="1"/>
  <c r="R610" i="1"/>
  <c r="Q611" i="1"/>
  <c r="R611" i="1"/>
  <c r="Q612" i="1"/>
  <c r="R612" i="1"/>
  <c r="Q613" i="1"/>
  <c r="R613" i="1"/>
  <c r="Q614" i="1"/>
  <c r="R614" i="1"/>
  <c r="Q615" i="1"/>
  <c r="R615" i="1"/>
  <c r="Q616" i="1"/>
  <c r="R616" i="1"/>
  <c r="Q617" i="1"/>
  <c r="R617" i="1"/>
  <c r="Q618" i="1"/>
  <c r="R618" i="1"/>
  <c r="Q619" i="1"/>
  <c r="R619" i="1"/>
  <c r="Q620" i="1"/>
  <c r="R620" i="1"/>
  <c r="Q621" i="1"/>
  <c r="R621" i="1"/>
  <c r="Q622" i="1"/>
  <c r="R622" i="1"/>
  <c r="Q623" i="1"/>
  <c r="R623" i="1"/>
  <c r="Q624" i="1"/>
  <c r="R624" i="1"/>
  <c r="Q625" i="1"/>
  <c r="R625" i="1"/>
  <c r="Q626" i="1"/>
  <c r="R626" i="1"/>
  <c r="Q627" i="1"/>
  <c r="R627" i="1"/>
  <c r="Q628" i="1"/>
  <c r="R628" i="1"/>
  <c r="Q629" i="1"/>
  <c r="R629" i="1"/>
  <c r="Q630" i="1"/>
  <c r="R630" i="1"/>
  <c r="Q631" i="1"/>
  <c r="R631" i="1"/>
  <c r="Q632" i="1"/>
  <c r="R632" i="1"/>
  <c r="Q633" i="1"/>
  <c r="R633" i="1"/>
  <c r="Q634" i="1"/>
  <c r="R634" i="1"/>
  <c r="Q635" i="1"/>
  <c r="R635" i="1"/>
  <c r="Q636" i="1"/>
  <c r="R636" i="1"/>
  <c r="Q637" i="1"/>
  <c r="R637" i="1"/>
  <c r="Q638" i="1"/>
  <c r="R638" i="1"/>
  <c r="Q639" i="1"/>
  <c r="R639" i="1"/>
  <c r="Q640" i="1"/>
  <c r="R640" i="1"/>
  <c r="Q641" i="1"/>
  <c r="R641" i="1"/>
  <c r="Q642" i="1"/>
  <c r="R642" i="1"/>
  <c r="Q643" i="1"/>
  <c r="R643" i="1"/>
  <c r="Q644" i="1"/>
  <c r="R644" i="1"/>
  <c r="Q645" i="1"/>
  <c r="R645" i="1"/>
  <c r="Q646" i="1"/>
  <c r="R646" i="1"/>
  <c r="Q647" i="1"/>
  <c r="R647" i="1"/>
  <c r="Q648" i="1"/>
  <c r="R648" i="1"/>
  <c r="Q649" i="1"/>
  <c r="R649" i="1"/>
  <c r="Q650" i="1"/>
  <c r="R650" i="1"/>
  <c r="Q651" i="1"/>
  <c r="R651" i="1"/>
  <c r="Q652" i="1"/>
  <c r="R652" i="1"/>
  <c r="Q653" i="1"/>
  <c r="R653" i="1"/>
  <c r="Q654" i="1"/>
  <c r="R654" i="1"/>
  <c r="Q655" i="1"/>
  <c r="R655" i="1"/>
  <c r="Q656" i="1"/>
  <c r="R656" i="1"/>
  <c r="Q657" i="1"/>
  <c r="R657" i="1"/>
  <c r="Q658" i="1"/>
  <c r="R658" i="1"/>
  <c r="Q659" i="1"/>
  <c r="R659" i="1"/>
  <c r="Q660" i="1"/>
  <c r="R660" i="1"/>
  <c r="Q661" i="1"/>
  <c r="R661" i="1"/>
  <c r="Q662" i="1"/>
  <c r="R662" i="1"/>
  <c r="Q663" i="1"/>
  <c r="R663" i="1"/>
  <c r="Q664" i="1"/>
  <c r="R664" i="1"/>
  <c r="Q665" i="1"/>
  <c r="R665" i="1"/>
  <c r="Q666" i="1"/>
  <c r="R666" i="1"/>
  <c r="Q667" i="1"/>
  <c r="R667" i="1"/>
  <c r="Q668" i="1"/>
  <c r="R668" i="1"/>
  <c r="Q669" i="1"/>
  <c r="R669" i="1"/>
  <c r="Y595" i="1"/>
  <c r="Q595" i="1"/>
  <c r="R595" i="1"/>
  <c r="B43" i="2"/>
  <c r="B41" i="2"/>
  <c r="B42" i="2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Q565" i="1"/>
  <c r="R565" i="1"/>
  <c r="Q566" i="1"/>
  <c r="R566" i="1"/>
  <c r="Q567" i="1"/>
  <c r="R567" i="1"/>
  <c r="Q568" i="1"/>
  <c r="R568" i="1"/>
  <c r="Q569" i="1"/>
  <c r="R569" i="1"/>
  <c r="Q570" i="1"/>
  <c r="R570" i="1"/>
  <c r="Q571" i="1"/>
  <c r="R571" i="1"/>
  <c r="Q572" i="1"/>
  <c r="R572" i="1"/>
  <c r="Q573" i="1"/>
  <c r="R573" i="1"/>
  <c r="Q574" i="1"/>
  <c r="R574" i="1"/>
  <c r="Q575" i="1"/>
  <c r="R575" i="1"/>
  <c r="Q576" i="1"/>
  <c r="R576" i="1"/>
  <c r="Q577" i="1"/>
  <c r="R577" i="1"/>
  <c r="Q578" i="1"/>
  <c r="R578" i="1"/>
  <c r="Q579" i="1"/>
  <c r="R579" i="1"/>
  <c r="Q580" i="1"/>
  <c r="R580" i="1"/>
  <c r="Q581" i="1"/>
  <c r="R581" i="1"/>
  <c r="Q582" i="1"/>
  <c r="R582" i="1"/>
  <c r="Q583" i="1"/>
  <c r="R583" i="1"/>
  <c r="Q584" i="1"/>
  <c r="R584" i="1"/>
  <c r="Q585" i="1"/>
  <c r="R585" i="1"/>
  <c r="Q586" i="1"/>
  <c r="R586" i="1"/>
  <c r="Q587" i="1"/>
  <c r="R587" i="1"/>
  <c r="Q588" i="1"/>
  <c r="R588" i="1"/>
  <c r="Q589" i="1"/>
  <c r="R589" i="1"/>
  <c r="Q590" i="1"/>
  <c r="R590" i="1"/>
  <c r="Q591" i="1"/>
  <c r="R591" i="1"/>
  <c r="Q592" i="1"/>
  <c r="R592" i="1"/>
  <c r="Q593" i="1"/>
  <c r="R593" i="1"/>
  <c r="Q594" i="1"/>
  <c r="R594" i="1"/>
  <c r="Y564" i="1"/>
  <c r="R564" i="1"/>
  <c r="Q564" i="1"/>
  <c r="B40" i="2"/>
  <c r="Y563" i="1"/>
  <c r="Q563" i="1"/>
  <c r="R563" i="1"/>
  <c r="B39" i="2"/>
  <c r="Q562" i="1"/>
  <c r="R562" i="1"/>
  <c r="Y562" i="1"/>
  <c r="Y561" i="1"/>
  <c r="R561" i="1"/>
  <c r="Q561" i="1"/>
  <c r="B38" i="2"/>
  <c r="Y560" i="1"/>
  <c r="Q560" i="1"/>
  <c r="R560" i="1"/>
  <c r="B37" i="2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Q532" i="1"/>
  <c r="R532" i="1"/>
  <c r="Q533" i="1"/>
  <c r="R533" i="1"/>
  <c r="Q534" i="1"/>
  <c r="R534" i="1"/>
  <c r="Q535" i="1"/>
  <c r="R535" i="1"/>
  <c r="Q536" i="1"/>
  <c r="R536" i="1"/>
  <c r="Q537" i="1"/>
  <c r="R537" i="1"/>
  <c r="Q538" i="1"/>
  <c r="R538" i="1"/>
  <c r="Q539" i="1"/>
  <c r="R539" i="1"/>
  <c r="Q540" i="1"/>
  <c r="R540" i="1"/>
  <c r="Q541" i="1"/>
  <c r="R541" i="1"/>
  <c r="Q542" i="1"/>
  <c r="R542" i="1"/>
  <c r="Q543" i="1"/>
  <c r="R543" i="1"/>
  <c r="Q544" i="1"/>
  <c r="R544" i="1"/>
  <c r="Q545" i="1"/>
  <c r="R545" i="1"/>
  <c r="Q546" i="1"/>
  <c r="R546" i="1"/>
  <c r="Q547" i="1"/>
  <c r="R547" i="1"/>
  <c r="Q548" i="1"/>
  <c r="R548" i="1"/>
  <c r="Q549" i="1"/>
  <c r="R549" i="1"/>
  <c r="Q550" i="1"/>
  <c r="R550" i="1"/>
  <c r="Q551" i="1"/>
  <c r="R551" i="1"/>
  <c r="Q552" i="1"/>
  <c r="R552" i="1"/>
  <c r="Q553" i="1"/>
  <c r="R553" i="1"/>
  <c r="Q554" i="1"/>
  <c r="R554" i="1"/>
  <c r="Q555" i="1"/>
  <c r="R555" i="1"/>
  <c r="Q556" i="1"/>
  <c r="R556" i="1"/>
  <c r="Q557" i="1"/>
  <c r="R557" i="1"/>
  <c r="Q558" i="1"/>
  <c r="R558" i="1"/>
  <c r="Q559" i="1"/>
  <c r="R559" i="1"/>
  <c r="Y531" i="1"/>
  <c r="R531" i="1"/>
  <c r="Q531" i="1"/>
  <c r="B36" i="2"/>
  <c r="Y530" i="1"/>
  <c r="Q530" i="1"/>
  <c r="R530" i="1"/>
  <c r="B2" i="2"/>
  <c r="B35" i="2"/>
  <c r="Y520" i="1"/>
  <c r="Y529" i="1"/>
  <c r="Y528" i="1"/>
  <c r="Y526" i="1"/>
  <c r="Y525" i="1"/>
  <c r="Y524" i="1"/>
  <c r="Y522" i="1"/>
  <c r="Y519" i="1"/>
  <c r="Y518" i="1"/>
  <c r="Y517" i="1"/>
  <c r="Y512" i="1"/>
  <c r="Y511" i="1"/>
  <c r="Y508" i="1"/>
  <c r="Y507" i="1"/>
  <c r="Y513" i="1"/>
  <c r="Y527" i="1"/>
  <c r="Y523" i="1"/>
  <c r="Y521" i="1"/>
  <c r="Y516" i="1"/>
  <c r="Y515" i="1"/>
  <c r="Y514" i="1"/>
  <c r="Y510" i="1"/>
  <c r="Y509" i="1"/>
  <c r="Y506" i="1"/>
  <c r="Y505" i="1"/>
  <c r="Y504" i="1"/>
  <c r="Y503" i="1"/>
  <c r="Y502" i="1"/>
  <c r="R529" i="1"/>
  <c r="Q529" i="1"/>
  <c r="R528" i="1"/>
  <c r="Q528" i="1"/>
  <c r="R527" i="1"/>
  <c r="Q527" i="1"/>
  <c r="R526" i="1"/>
  <c r="Q526" i="1"/>
  <c r="R525" i="1"/>
  <c r="Q525" i="1"/>
  <c r="R524" i="1"/>
  <c r="Q524" i="1"/>
  <c r="R523" i="1"/>
  <c r="Q523" i="1"/>
  <c r="R522" i="1"/>
  <c r="Q522" i="1"/>
  <c r="R521" i="1"/>
  <c r="Q521" i="1"/>
  <c r="R520" i="1"/>
  <c r="Q520" i="1"/>
  <c r="R519" i="1"/>
  <c r="Q519" i="1"/>
  <c r="R518" i="1"/>
  <c r="Q518" i="1"/>
  <c r="R517" i="1"/>
  <c r="Q517" i="1"/>
  <c r="R516" i="1"/>
  <c r="Q516" i="1"/>
  <c r="R515" i="1"/>
  <c r="Q515" i="1"/>
  <c r="R514" i="1"/>
  <c r="Q514" i="1"/>
  <c r="R513" i="1"/>
  <c r="Q513" i="1"/>
  <c r="R512" i="1"/>
  <c r="Q512" i="1"/>
  <c r="R511" i="1"/>
  <c r="Q511" i="1"/>
  <c r="R510" i="1"/>
  <c r="Q510" i="1"/>
  <c r="R509" i="1"/>
  <c r="Q509" i="1"/>
  <c r="R508" i="1"/>
  <c r="Q508" i="1"/>
  <c r="R507" i="1"/>
  <c r="Q507" i="1"/>
  <c r="R506" i="1"/>
  <c r="Q506" i="1"/>
  <c r="R505" i="1"/>
  <c r="Q505" i="1"/>
  <c r="R504" i="1"/>
  <c r="Q504" i="1"/>
  <c r="R503" i="1"/>
  <c r="Q503" i="1"/>
  <c r="R502" i="1"/>
  <c r="Q502" i="1"/>
  <c r="B33" i="2"/>
  <c r="Y501" i="1"/>
  <c r="Y500" i="1"/>
  <c r="R501" i="1"/>
  <c r="R500" i="1"/>
  <c r="Q501" i="1"/>
  <c r="Q500" i="1"/>
  <c r="B34" i="2"/>
  <c r="Y499" i="1"/>
  <c r="R499" i="1"/>
  <c r="Q499" i="1"/>
  <c r="B32" i="2"/>
  <c r="Q420" i="1"/>
  <c r="R420" i="1"/>
  <c r="Y420" i="1"/>
  <c r="Q421" i="1"/>
  <c r="R421" i="1"/>
  <c r="Y421" i="1"/>
  <c r="Q422" i="1"/>
  <c r="R422" i="1"/>
  <c r="Y422" i="1"/>
  <c r="Q423" i="1"/>
  <c r="R423" i="1"/>
  <c r="Y423" i="1"/>
  <c r="Q424" i="1"/>
  <c r="R424" i="1"/>
  <c r="Y424" i="1"/>
  <c r="Q425" i="1"/>
  <c r="R425" i="1"/>
  <c r="Y425" i="1"/>
  <c r="Q426" i="1"/>
  <c r="R426" i="1"/>
  <c r="Y426" i="1"/>
  <c r="Q427" i="1"/>
  <c r="R427" i="1"/>
  <c r="Y427" i="1"/>
  <c r="Q428" i="1"/>
  <c r="R428" i="1"/>
  <c r="Y428" i="1"/>
  <c r="Q429" i="1"/>
  <c r="R429" i="1"/>
  <c r="Y429" i="1"/>
  <c r="Q430" i="1"/>
  <c r="R430" i="1"/>
  <c r="Y430" i="1"/>
  <c r="Q431" i="1"/>
  <c r="R431" i="1"/>
  <c r="Y431" i="1"/>
  <c r="Q432" i="1"/>
  <c r="R432" i="1"/>
  <c r="Y432" i="1"/>
  <c r="Q433" i="1"/>
  <c r="R433" i="1"/>
  <c r="Y433" i="1"/>
  <c r="Q434" i="1"/>
  <c r="R434" i="1"/>
  <c r="Y434" i="1"/>
  <c r="Q435" i="1"/>
  <c r="R435" i="1"/>
  <c r="Y435" i="1"/>
  <c r="Q436" i="1"/>
  <c r="R436" i="1"/>
  <c r="Y436" i="1"/>
  <c r="Q437" i="1"/>
  <c r="R437" i="1"/>
  <c r="Y437" i="1"/>
  <c r="Q438" i="1"/>
  <c r="R438" i="1"/>
  <c r="Y438" i="1"/>
  <c r="Q439" i="1"/>
  <c r="R439" i="1"/>
  <c r="Y439" i="1"/>
  <c r="Q440" i="1"/>
  <c r="R440" i="1"/>
  <c r="Y440" i="1"/>
  <c r="Q441" i="1"/>
  <c r="R441" i="1"/>
  <c r="Y441" i="1"/>
  <c r="Q442" i="1"/>
  <c r="R442" i="1"/>
  <c r="Y442" i="1"/>
  <c r="Q443" i="1"/>
  <c r="R443" i="1"/>
  <c r="Y443" i="1"/>
  <c r="Q444" i="1"/>
  <c r="R444" i="1"/>
  <c r="Y444" i="1"/>
  <c r="Q445" i="1"/>
  <c r="R445" i="1"/>
  <c r="Y445" i="1"/>
  <c r="Q446" i="1"/>
  <c r="R446" i="1"/>
  <c r="Y446" i="1"/>
  <c r="Q447" i="1"/>
  <c r="R447" i="1"/>
  <c r="Y447" i="1"/>
  <c r="Q448" i="1"/>
  <c r="R448" i="1"/>
  <c r="Y448" i="1"/>
  <c r="Q449" i="1"/>
  <c r="R449" i="1"/>
  <c r="Y449" i="1"/>
  <c r="Q450" i="1"/>
  <c r="R450" i="1"/>
  <c r="Y450" i="1"/>
  <c r="Q451" i="1"/>
  <c r="R451" i="1"/>
  <c r="Y451" i="1"/>
  <c r="Q452" i="1"/>
  <c r="R452" i="1"/>
  <c r="Y452" i="1"/>
  <c r="Q453" i="1"/>
  <c r="R453" i="1"/>
  <c r="Y453" i="1"/>
  <c r="Q454" i="1"/>
  <c r="R454" i="1"/>
  <c r="Y454" i="1"/>
  <c r="Q455" i="1"/>
  <c r="R455" i="1"/>
  <c r="Y455" i="1"/>
  <c r="Q456" i="1"/>
  <c r="R456" i="1"/>
  <c r="Y456" i="1"/>
  <c r="Q457" i="1"/>
  <c r="R457" i="1"/>
  <c r="Y457" i="1"/>
  <c r="Q458" i="1"/>
  <c r="R458" i="1"/>
  <c r="Y458" i="1"/>
  <c r="Q459" i="1"/>
  <c r="R459" i="1"/>
  <c r="Y459" i="1"/>
  <c r="Q460" i="1"/>
  <c r="R460" i="1"/>
  <c r="Y460" i="1"/>
  <c r="Q461" i="1"/>
  <c r="R461" i="1"/>
  <c r="Y461" i="1"/>
  <c r="Q462" i="1"/>
  <c r="R462" i="1"/>
  <c r="Y462" i="1"/>
  <c r="Q463" i="1"/>
  <c r="R463" i="1"/>
  <c r="Y463" i="1"/>
  <c r="Q464" i="1"/>
  <c r="R464" i="1"/>
  <c r="Y464" i="1"/>
  <c r="Q465" i="1"/>
  <c r="R465" i="1"/>
  <c r="Y465" i="1"/>
  <c r="Q466" i="1"/>
  <c r="R466" i="1"/>
  <c r="Y466" i="1"/>
  <c r="Q467" i="1"/>
  <c r="R467" i="1"/>
  <c r="Y467" i="1"/>
  <c r="Q468" i="1"/>
  <c r="R468" i="1"/>
  <c r="Y468" i="1"/>
  <c r="Q469" i="1"/>
  <c r="R469" i="1"/>
  <c r="Y469" i="1"/>
  <c r="Q470" i="1"/>
  <c r="R470" i="1"/>
  <c r="Y470" i="1"/>
  <c r="Q471" i="1"/>
  <c r="R471" i="1"/>
  <c r="Y471" i="1"/>
  <c r="Q472" i="1"/>
  <c r="R472" i="1"/>
  <c r="Y472" i="1"/>
  <c r="Q473" i="1"/>
  <c r="R473" i="1"/>
  <c r="Y473" i="1"/>
  <c r="Q474" i="1"/>
  <c r="R474" i="1"/>
  <c r="Y474" i="1"/>
  <c r="Q475" i="1"/>
  <c r="R475" i="1"/>
  <c r="Y475" i="1"/>
  <c r="Q476" i="1"/>
  <c r="R476" i="1"/>
  <c r="Y476" i="1"/>
  <c r="Q477" i="1"/>
  <c r="R477" i="1"/>
  <c r="Y477" i="1"/>
  <c r="Q478" i="1"/>
  <c r="R478" i="1"/>
  <c r="Y478" i="1"/>
  <c r="Q479" i="1"/>
  <c r="R479" i="1"/>
  <c r="Y479" i="1"/>
  <c r="Q480" i="1"/>
  <c r="R480" i="1"/>
  <c r="Y480" i="1"/>
  <c r="Q481" i="1"/>
  <c r="R481" i="1"/>
  <c r="Y481" i="1"/>
  <c r="Q482" i="1"/>
  <c r="R482" i="1"/>
  <c r="Y482" i="1"/>
  <c r="Q483" i="1"/>
  <c r="R483" i="1"/>
  <c r="Y483" i="1"/>
  <c r="Q484" i="1"/>
  <c r="R484" i="1"/>
  <c r="Y484" i="1"/>
  <c r="Q485" i="1"/>
  <c r="R485" i="1"/>
  <c r="Y485" i="1"/>
  <c r="Q486" i="1"/>
  <c r="R486" i="1"/>
  <c r="Y486" i="1"/>
  <c r="Q487" i="1"/>
  <c r="R487" i="1"/>
  <c r="Y487" i="1"/>
  <c r="Q488" i="1"/>
  <c r="R488" i="1"/>
  <c r="Y488" i="1"/>
  <c r="Q489" i="1"/>
  <c r="R489" i="1"/>
  <c r="Y489" i="1"/>
  <c r="Q490" i="1"/>
  <c r="R490" i="1"/>
  <c r="Y490" i="1"/>
  <c r="Q491" i="1"/>
  <c r="R491" i="1"/>
  <c r="Y491" i="1"/>
  <c r="Q492" i="1"/>
  <c r="R492" i="1"/>
  <c r="Y492" i="1"/>
  <c r="Q493" i="1"/>
  <c r="R493" i="1"/>
  <c r="Y493" i="1"/>
  <c r="Q494" i="1"/>
  <c r="R494" i="1"/>
  <c r="Y494" i="1"/>
  <c r="Q495" i="1"/>
  <c r="R495" i="1"/>
  <c r="Y495" i="1"/>
  <c r="Q496" i="1"/>
  <c r="R496" i="1"/>
  <c r="Y496" i="1"/>
  <c r="Q497" i="1"/>
  <c r="R497" i="1"/>
  <c r="Y497" i="1"/>
  <c r="Q498" i="1"/>
  <c r="R498" i="1"/>
  <c r="Y498" i="1"/>
  <c r="Y419" i="1"/>
  <c r="Q419" i="1"/>
  <c r="R419" i="1"/>
  <c r="B31" i="2"/>
  <c r="B30" i="2" l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Q365" i="1"/>
  <c r="R365" i="1"/>
  <c r="Q366" i="1"/>
  <c r="R366" i="1"/>
  <c r="Q367" i="1"/>
  <c r="R367" i="1"/>
  <c r="Q368" i="1"/>
  <c r="R368" i="1"/>
  <c r="Q369" i="1"/>
  <c r="R369" i="1"/>
  <c r="Q370" i="1"/>
  <c r="R370" i="1"/>
  <c r="Q371" i="1"/>
  <c r="R371" i="1"/>
  <c r="Q372" i="1"/>
  <c r="R372" i="1"/>
  <c r="Q373" i="1"/>
  <c r="R373" i="1"/>
  <c r="Q374" i="1"/>
  <c r="R374" i="1"/>
  <c r="Q375" i="1"/>
  <c r="R375" i="1"/>
  <c r="Q376" i="1"/>
  <c r="R376" i="1"/>
  <c r="Q377" i="1"/>
  <c r="R377" i="1"/>
  <c r="Q378" i="1"/>
  <c r="R378" i="1"/>
  <c r="Q379" i="1"/>
  <c r="R379" i="1"/>
  <c r="Q380" i="1"/>
  <c r="R380" i="1"/>
  <c r="Q381" i="1"/>
  <c r="R381" i="1"/>
  <c r="Q388" i="1"/>
  <c r="R388" i="1"/>
  <c r="Q389" i="1"/>
  <c r="R389" i="1"/>
  <c r="Q390" i="1"/>
  <c r="R390" i="1"/>
  <c r="Q391" i="1"/>
  <c r="R391" i="1"/>
  <c r="Q392" i="1"/>
  <c r="R392" i="1"/>
  <c r="Q393" i="1"/>
  <c r="R393" i="1"/>
  <c r="Q394" i="1"/>
  <c r="R394" i="1"/>
  <c r="Q395" i="1"/>
  <c r="R395" i="1"/>
  <c r="Q396" i="1"/>
  <c r="R396" i="1"/>
  <c r="Q397" i="1"/>
  <c r="R397" i="1"/>
  <c r="Q398" i="1"/>
  <c r="R398" i="1"/>
  <c r="Q399" i="1"/>
  <c r="R399" i="1"/>
  <c r="Q400" i="1"/>
  <c r="R400" i="1"/>
  <c r="Q401" i="1"/>
  <c r="R401" i="1"/>
  <c r="Q402" i="1"/>
  <c r="R402" i="1"/>
  <c r="Q403" i="1"/>
  <c r="R403" i="1"/>
  <c r="Q404" i="1"/>
  <c r="R404" i="1"/>
  <c r="Q405" i="1"/>
  <c r="R405" i="1"/>
  <c r="Q406" i="1"/>
  <c r="R406" i="1"/>
  <c r="Q407" i="1"/>
  <c r="R407" i="1"/>
  <c r="Q408" i="1"/>
  <c r="R408" i="1"/>
  <c r="Q409" i="1"/>
  <c r="R409" i="1"/>
  <c r="Q410" i="1"/>
  <c r="R410" i="1"/>
  <c r="Q411" i="1"/>
  <c r="R411" i="1"/>
  <c r="Q412" i="1"/>
  <c r="R412" i="1"/>
  <c r="Q413" i="1"/>
  <c r="R413" i="1"/>
  <c r="Q414" i="1"/>
  <c r="R414" i="1"/>
  <c r="Q415" i="1"/>
  <c r="R415" i="1"/>
  <c r="Q416" i="1"/>
  <c r="R416" i="1"/>
  <c r="Q417" i="1"/>
  <c r="R417" i="1"/>
  <c r="Q418" i="1"/>
  <c r="R418" i="1"/>
  <c r="Y364" i="1"/>
  <c r="R364" i="1"/>
  <c r="Q364" i="1"/>
  <c r="B26" i="2"/>
  <c r="B27" i="2"/>
  <c r="B28" i="2"/>
  <c r="Y362" i="1"/>
  <c r="Y363" i="1"/>
  <c r="Q362" i="1"/>
  <c r="R362" i="1"/>
  <c r="Q363" i="1"/>
  <c r="R363" i="1"/>
  <c r="Y361" i="1"/>
  <c r="Q361" i="1"/>
  <c r="R361" i="1"/>
  <c r="Y353" i="1"/>
  <c r="Y354" i="1"/>
  <c r="Y355" i="1"/>
  <c r="Y356" i="1"/>
  <c r="Y357" i="1"/>
  <c r="Y358" i="1"/>
  <c r="Y359" i="1"/>
  <c r="Y360" i="1"/>
  <c r="Q353" i="1"/>
  <c r="R353" i="1"/>
  <c r="Q354" i="1"/>
  <c r="R354" i="1"/>
  <c r="Q355" i="1"/>
  <c r="R355" i="1"/>
  <c r="Q356" i="1"/>
  <c r="R356" i="1"/>
  <c r="Q357" i="1"/>
  <c r="R357" i="1"/>
  <c r="Q358" i="1"/>
  <c r="R358" i="1"/>
  <c r="Q359" i="1"/>
  <c r="R359" i="1"/>
  <c r="Q360" i="1"/>
  <c r="R360" i="1"/>
  <c r="B25" i="2"/>
  <c r="Y346" i="1"/>
  <c r="Y325" i="1"/>
  <c r="Y352" i="1"/>
  <c r="Y351" i="1"/>
  <c r="Y350" i="1"/>
  <c r="Y349" i="1"/>
  <c r="Y348" i="1"/>
  <c r="Y347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4" i="1"/>
  <c r="Q324" i="1"/>
  <c r="R324" i="1"/>
  <c r="Q325" i="1"/>
  <c r="R325" i="1"/>
  <c r="Q326" i="1"/>
  <c r="R326" i="1"/>
  <c r="Q327" i="1"/>
  <c r="R327" i="1"/>
  <c r="Q328" i="1"/>
  <c r="R328" i="1"/>
  <c r="Q329" i="1"/>
  <c r="R329" i="1"/>
  <c r="Q330" i="1"/>
  <c r="R330" i="1"/>
  <c r="Q331" i="1"/>
  <c r="R331" i="1"/>
  <c r="Q332" i="1"/>
  <c r="R332" i="1"/>
  <c r="Q333" i="1"/>
  <c r="R333" i="1"/>
  <c r="Q334" i="1"/>
  <c r="R334" i="1"/>
  <c r="Q335" i="1"/>
  <c r="R335" i="1"/>
  <c r="Q336" i="1"/>
  <c r="R336" i="1"/>
  <c r="Q337" i="1"/>
  <c r="R337" i="1"/>
  <c r="Q338" i="1"/>
  <c r="R338" i="1"/>
  <c r="Q339" i="1"/>
  <c r="R339" i="1"/>
  <c r="Q340" i="1"/>
  <c r="R340" i="1"/>
  <c r="Q341" i="1"/>
  <c r="R341" i="1"/>
  <c r="Q342" i="1"/>
  <c r="R342" i="1"/>
  <c r="Q343" i="1"/>
  <c r="R343" i="1"/>
  <c r="Q344" i="1"/>
  <c r="R344" i="1"/>
  <c r="Q345" i="1"/>
  <c r="R345" i="1"/>
  <c r="Q346" i="1"/>
  <c r="R346" i="1"/>
  <c r="Q347" i="1"/>
  <c r="R347" i="1"/>
  <c r="Q348" i="1"/>
  <c r="R348" i="1"/>
  <c r="Q349" i="1"/>
  <c r="R349" i="1"/>
  <c r="Q350" i="1"/>
  <c r="R350" i="1"/>
  <c r="Q351" i="1"/>
  <c r="R351" i="1"/>
  <c r="Q352" i="1"/>
  <c r="R352" i="1"/>
  <c r="Y323" i="1"/>
  <c r="Q323" i="1"/>
  <c r="R323" i="1"/>
  <c r="B24" i="2"/>
  <c r="B23" i="2"/>
  <c r="Y322" i="1"/>
  <c r="Q322" i="1" l="1"/>
  <c r="R322" i="1"/>
  <c r="B22" i="2"/>
  <c r="Y321" i="1"/>
  <c r="Q321" i="1"/>
  <c r="R321" i="1"/>
  <c r="B20" i="2" l="1"/>
  <c r="B5" i="2" l="1"/>
  <c r="B6" i="2"/>
  <c r="B7" i="2"/>
  <c r="B8" i="2"/>
  <c r="B9" i="2"/>
  <c r="B10" i="2"/>
  <c r="B11" i="2"/>
  <c r="B12" i="2"/>
  <c r="B13" i="2"/>
  <c r="B14" i="2"/>
  <c r="B15" i="2"/>
  <c r="B17" i="2"/>
  <c r="B18" i="2"/>
  <c r="B19" i="2"/>
  <c r="B21" i="2"/>
  <c r="B4" i="2"/>
  <c r="Y315" i="1" l="1"/>
  <c r="Y316" i="1"/>
  <c r="Y317" i="1"/>
  <c r="Y318" i="1"/>
  <c r="Y319" i="1"/>
  <c r="Y320" i="1"/>
  <c r="Y314" i="1"/>
  <c r="R320" i="1"/>
  <c r="Q320" i="1"/>
  <c r="R319" i="1"/>
  <c r="Q319" i="1"/>
  <c r="R318" i="1"/>
  <c r="Q318" i="1"/>
  <c r="R317" i="1"/>
  <c r="Q317" i="1"/>
  <c r="R316" i="1"/>
  <c r="Q316" i="1"/>
  <c r="R315" i="1"/>
  <c r="Q315" i="1"/>
  <c r="R314" i="1"/>
  <c r="Q314" i="1"/>
  <c r="Q293" i="1"/>
  <c r="R293" i="1"/>
  <c r="Y293" i="1"/>
  <c r="Q294" i="1"/>
  <c r="R294" i="1"/>
  <c r="Y294" i="1"/>
  <c r="Q295" i="1"/>
  <c r="R295" i="1"/>
  <c r="Y295" i="1"/>
  <c r="Q296" i="1"/>
  <c r="R296" i="1"/>
  <c r="Y296" i="1"/>
  <c r="Q297" i="1"/>
  <c r="R297" i="1"/>
  <c r="Y297" i="1"/>
  <c r="Q298" i="1"/>
  <c r="R298" i="1"/>
  <c r="Y298" i="1"/>
  <c r="Q299" i="1"/>
  <c r="R299" i="1"/>
  <c r="Y299" i="1"/>
  <c r="Q300" i="1"/>
  <c r="R300" i="1"/>
  <c r="Y300" i="1"/>
  <c r="Q301" i="1"/>
  <c r="R301" i="1"/>
  <c r="Y301" i="1"/>
  <c r="Q302" i="1"/>
  <c r="R302" i="1"/>
  <c r="Y302" i="1"/>
  <c r="Q303" i="1"/>
  <c r="R303" i="1"/>
  <c r="Y303" i="1"/>
  <c r="Q304" i="1"/>
  <c r="R304" i="1"/>
  <c r="Y304" i="1"/>
  <c r="Q305" i="1"/>
  <c r="R305" i="1"/>
  <c r="Y305" i="1"/>
  <c r="Q306" i="1"/>
  <c r="R306" i="1"/>
  <c r="Y306" i="1"/>
  <c r="Q307" i="1"/>
  <c r="R307" i="1"/>
  <c r="Y307" i="1"/>
  <c r="Q308" i="1"/>
  <c r="R308" i="1"/>
  <c r="Y308" i="1"/>
  <c r="Q309" i="1"/>
  <c r="R309" i="1"/>
  <c r="Y309" i="1"/>
  <c r="Q310" i="1"/>
  <c r="R310" i="1"/>
  <c r="Y310" i="1"/>
  <c r="Q311" i="1"/>
  <c r="R311" i="1"/>
  <c r="Y311" i="1"/>
  <c r="Q312" i="1"/>
  <c r="R312" i="1"/>
  <c r="Y312" i="1"/>
  <c r="Q313" i="1"/>
  <c r="R313" i="1"/>
  <c r="Y313" i="1"/>
  <c r="Y292" i="1"/>
  <c r="Q292" i="1"/>
  <c r="R292" i="1"/>
  <c r="Q290" i="1"/>
  <c r="R290" i="1"/>
  <c r="Y290" i="1"/>
  <c r="Q291" i="1"/>
  <c r="R291" i="1"/>
  <c r="Y291" i="1"/>
  <c r="Y289" i="1"/>
  <c r="Q289" i="1"/>
  <c r="R289" i="1"/>
  <c r="Q278" i="1"/>
  <c r="R278" i="1"/>
  <c r="Y278" i="1"/>
  <c r="Q279" i="1"/>
  <c r="R279" i="1"/>
  <c r="Y279" i="1"/>
  <c r="Q280" i="1"/>
  <c r="R280" i="1"/>
  <c r="Y280" i="1"/>
  <c r="Q281" i="1"/>
  <c r="R281" i="1"/>
  <c r="Y281" i="1"/>
  <c r="Q282" i="1"/>
  <c r="R282" i="1"/>
  <c r="Y282" i="1"/>
  <c r="Q283" i="1"/>
  <c r="R283" i="1"/>
  <c r="Y283" i="1"/>
  <c r="Q284" i="1"/>
  <c r="R284" i="1"/>
  <c r="Y284" i="1"/>
  <c r="Q285" i="1"/>
  <c r="R285" i="1"/>
  <c r="Y285" i="1"/>
  <c r="Q286" i="1"/>
  <c r="R286" i="1"/>
  <c r="Y286" i="1"/>
  <c r="Q287" i="1"/>
  <c r="R287" i="1"/>
  <c r="Y287" i="1"/>
  <c r="Q288" i="1"/>
  <c r="R288" i="1"/>
  <c r="Y288" i="1"/>
  <c r="Y277" i="1"/>
  <c r="R277" i="1"/>
  <c r="Q277" i="1"/>
  <c r="Y266" i="1" l="1"/>
  <c r="Y267" i="1"/>
  <c r="Y268" i="1"/>
  <c r="Y269" i="1"/>
  <c r="Y270" i="1"/>
  <c r="Y271" i="1"/>
  <c r="Y272" i="1"/>
  <c r="Y273" i="1"/>
  <c r="Y274" i="1"/>
  <c r="Y275" i="1"/>
  <c r="Y276" i="1"/>
  <c r="Q266" i="1"/>
  <c r="R266" i="1"/>
  <c r="Q267" i="1"/>
  <c r="R267" i="1"/>
  <c r="Q268" i="1"/>
  <c r="R268" i="1"/>
  <c r="Q269" i="1"/>
  <c r="R269" i="1"/>
  <c r="Q270" i="1"/>
  <c r="R270" i="1"/>
  <c r="Q271" i="1"/>
  <c r="R271" i="1"/>
  <c r="Q272" i="1"/>
  <c r="R272" i="1"/>
  <c r="Q273" i="1"/>
  <c r="R273" i="1"/>
  <c r="Q274" i="1"/>
  <c r="R274" i="1"/>
  <c r="Q275" i="1"/>
  <c r="R275" i="1"/>
  <c r="Q276" i="1"/>
  <c r="R276" i="1"/>
  <c r="Y265" i="1"/>
  <c r="Q265" i="1"/>
  <c r="R265" i="1"/>
  <c r="Q256" i="1"/>
  <c r="R256" i="1"/>
  <c r="Y256" i="1"/>
  <c r="Q257" i="1"/>
  <c r="R257" i="1"/>
  <c r="Y257" i="1"/>
  <c r="Q258" i="1"/>
  <c r="R258" i="1"/>
  <c r="Y258" i="1"/>
  <c r="Q259" i="1"/>
  <c r="R259" i="1"/>
  <c r="Y259" i="1"/>
  <c r="Q260" i="1"/>
  <c r="R260" i="1"/>
  <c r="Y260" i="1"/>
  <c r="Q261" i="1"/>
  <c r="R261" i="1"/>
  <c r="Y261" i="1"/>
  <c r="Q262" i="1"/>
  <c r="R262" i="1"/>
  <c r="Y262" i="1"/>
  <c r="Q263" i="1"/>
  <c r="R263" i="1"/>
  <c r="Y263" i="1"/>
  <c r="Q264" i="1"/>
  <c r="R264" i="1"/>
  <c r="Y264" i="1"/>
  <c r="Y255" i="1"/>
  <c r="R255" i="1"/>
  <c r="Q255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39" i="1"/>
  <c r="Q239" i="1"/>
  <c r="R239" i="1"/>
  <c r="Q240" i="1"/>
  <c r="R240" i="1"/>
  <c r="Q241" i="1"/>
  <c r="R241" i="1"/>
  <c r="Q242" i="1"/>
  <c r="R242" i="1"/>
  <c r="Q243" i="1"/>
  <c r="R243" i="1"/>
  <c r="Q244" i="1"/>
  <c r="R244" i="1"/>
  <c r="Q245" i="1"/>
  <c r="R245" i="1"/>
  <c r="Q246" i="1"/>
  <c r="R246" i="1"/>
  <c r="Q247" i="1"/>
  <c r="R247" i="1"/>
  <c r="Q248" i="1"/>
  <c r="R248" i="1"/>
  <c r="Q249" i="1"/>
  <c r="R249" i="1"/>
  <c r="Q250" i="1"/>
  <c r="R250" i="1"/>
  <c r="Q251" i="1"/>
  <c r="R251" i="1"/>
  <c r="Q252" i="1"/>
  <c r="R252" i="1"/>
  <c r="Q253" i="1"/>
  <c r="R253" i="1"/>
  <c r="Q254" i="1"/>
  <c r="R254" i="1"/>
  <c r="Y194" i="1" l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193" i="1"/>
  <c r="Q193" i="1"/>
  <c r="R193" i="1"/>
  <c r="Q194" i="1"/>
  <c r="R194" i="1"/>
  <c r="Q195" i="1"/>
  <c r="R195" i="1"/>
  <c r="Q196" i="1"/>
  <c r="R196" i="1"/>
  <c r="Q197" i="1"/>
  <c r="R197" i="1"/>
  <c r="Q198" i="1"/>
  <c r="R198" i="1"/>
  <c r="Q199" i="1"/>
  <c r="R199" i="1"/>
  <c r="Q200" i="1"/>
  <c r="R200" i="1"/>
  <c r="Q201" i="1"/>
  <c r="R201" i="1"/>
  <c r="Q202" i="1"/>
  <c r="R202" i="1"/>
  <c r="Q203" i="1"/>
  <c r="R203" i="1"/>
  <c r="Q204" i="1"/>
  <c r="R204" i="1"/>
  <c r="Q205" i="1"/>
  <c r="R205" i="1"/>
  <c r="Q206" i="1"/>
  <c r="R206" i="1"/>
  <c r="Q207" i="1"/>
  <c r="R207" i="1"/>
  <c r="Q208" i="1"/>
  <c r="R208" i="1"/>
  <c r="Q209" i="1"/>
  <c r="R209" i="1"/>
  <c r="Q210" i="1"/>
  <c r="R210" i="1"/>
  <c r="Q211" i="1"/>
  <c r="R211" i="1"/>
  <c r="Q212" i="1"/>
  <c r="R212" i="1"/>
  <c r="Q213" i="1"/>
  <c r="R213" i="1"/>
  <c r="Q214" i="1"/>
  <c r="R214" i="1"/>
  <c r="Q215" i="1"/>
  <c r="R215" i="1"/>
  <c r="Q216" i="1"/>
  <c r="R216" i="1"/>
  <c r="Q217" i="1"/>
  <c r="R217" i="1"/>
  <c r="Q218" i="1"/>
  <c r="R218" i="1"/>
  <c r="Q219" i="1"/>
  <c r="R219" i="1"/>
  <c r="Q220" i="1"/>
  <c r="R220" i="1"/>
  <c r="Q221" i="1"/>
  <c r="R221" i="1"/>
  <c r="Q222" i="1"/>
  <c r="R222" i="1"/>
  <c r="Q223" i="1"/>
  <c r="R223" i="1"/>
  <c r="Q224" i="1"/>
  <c r="R224" i="1"/>
  <c r="Q225" i="1"/>
  <c r="R225" i="1"/>
  <c r="Q226" i="1"/>
  <c r="R226" i="1"/>
  <c r="Q227" i="1"/>
  <c r="R227" i="1"/>
  <c r="Q228" i="1"/>
  <c r="R228" i="1"/>
  <c r="Q229" i="1"/>
  <c r="R229" i="1"/>
  <c r="Q230" i="1"/>
  <c r="R230" i="1"/>
  <c r="Q231" i="1"/>
  <c r="R231" i="1"/>
  <c r="Q232" i="1"/>
  <c r="R232" i="1"/>
  <c r="Q233" i="1"/>
  <c r="R233" i="1"/>
  <c r="Q234" i="1"/>
  <c r="R234" i="1"/>
  <c r="Q235" i="1"/>
  <c r="R235" i="1"/>
  <c r="Q236" i="1"/>
  <c r="R236" i="1"/>
  <c r="Q237" i="1"/>
  <c r="R237" i="1"/>
  <c r="Q238" i="1"/>
  <c r="R238" i="1"/>
  <c r="Y140" i="1" l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Q140" i="1"/>
  <c r="R140" i="1"/>
  <c r="Q141" i="1"/>
  <c r="R141" i="1"/>
  <c r="Q142" i="1"/>
  <c r="R142" i="1"/>
  <c r="Q143" i="1"/>
  <c r="R143" i="1"/>
  <c r="Q144" i="1"/>
  <c r="R144" i="1"/>
  <c r="Q145" i="1"/>
  <c r="R145" i="1"/>
  <c r="Q146" i="1"/>
  <c r="R146" i="1"/>
  <c r="Q147" i="1"/>
  <c r="R147" i="1"/>
  <c r="Q148" i="1"/>
  <c r="R148" i="1"/>
  <c r="Q149" i="1"/>
  <c r="R149" i="1"/>
  <c r="Q150" i="1"/>
  <c r="R150" i="1"/>
  <c r="Q151" i="1"/>
  <c r="R151" i="1"/>
  <c r="Q152" i="1"/>
  <c r="R152" i="1"/>
  <c r="Q153" i="1"/>
  <c r="R153" i="1"/>
  <c r="Q154" i="1"/>
  <c r="R154" i="1"/>
  <c r="Q155" i="1"/>
  <c r="R155" i="1"/>
  <c r="Q156" i="1"/>
  <c r="R156" i="1"/>
  <c r="Q157" i="1"/>
  <c r="R157" i="1"/>
  <c r="Q158" i="1"/>
  <c r="R158" i="1"/>
  <c r="Q159" i="1"/>
  <c r="R159" i="1"/>
  <c r="Q160" i="1"/>
  <c r="R160" i="1"/>
  <c r="Q161" i="1"/>
  <c r="R161" i="1"/>
  <c r="Q162" i="1"/>
  <c r="R162" i="1"/>
  <c r="Q163" i="1"/>
  <c r="R163" i="1"/>
  <c r="Q164" i="1"/>
  <c r="R164" i="1"/>
  <c r="Q165" i="1"/>
  <c r="R165" i="1"/>
  <c r="Q166" i="1"/>
  <c r="R166" i="1"/>
  <c r="Q167" i="1"/>
  <c r="R167" i="1"/>
  <c r="Q168" i="1"/>
  <c r="R168" i="1"/>
  <c r="Q169" i="1"/>
  <c r="R169" i="1"/>
  <c r="Q170" i="1"/>
  <c r="R170" i="1"/>
  <c r="Q171" i="1"/>
  <c r="R171" i="1"/>
  <c r="Q172" i="1"/>
  <c r="R172" i="1"/>
  <c r="Q173" i="1"/>
  <c r="R173" i="1"/>
  <c r="Q174" i="1"/>
  <c r="R174" i="1"/>
  <c r="Q175" i="1"/>
  <c r="R175" i="1"/>
  <c r="Q176" i="1"/>
  <c r="R176" i="1"/>
  <c r="Q177" i="1"/>
  <c r="R177" i="1"/>
  <c r="Q178" i="1"/>
  <c r="R178" i="1"/>
  <c r="Q179" i="1"/>
  <c r="R179" i="1"/>
  <c r="Q180" i="1"/>
  <c r="R180" i="1"/>
  <c r="Q181" i="1"/>
  <c r="R181" i="1"/>
  <c r="Q182" i="1"/>
  <c r="R182" i="1"/>
  <c r="Q183" i="1"/>
  <c r="R183" i="1"/>
  <c r="Q184" i="1"/>
  <c r="R184" i="1"/>
  <c r="Q185" i="1"/>
  <c r="R185" i="1"/>
  <c r="Q186" i="1"/>
  <c r="R186" i="1"/>
  <c r="Q187" i="1"/>
  <c r="R187" i="1"/>
  <c r="Q188" i="1"/>
  <c r="R188" i="1"/>
  <c r="Q189" i="1"/>
  <c r="R189" i="1"/>
  <c r="Q190" i="1"/>
  <c r="R190" i="1"/>
  <c r="Q191" i="1"/>
  <c r="R191" i="1"/>
  <c r="Q192" i="1"/>
  <c r="R192" i="1"/>
  <c r="Y139" i="1"/>
  <c r="Q139" i="1"/>
  <c r="R139" i="1"/>
  <c r="Q107" i="1"/>
  <c r="R107" i="1"/>
  <c r="Y107" i="1"/>
  <c r="Q108" i="1"/>
  <c r="R108" i="1"/>
  <c r="Y108" i="1"/>
  <c r="Q109" i="1"/>
  <c r="R109" i="1"/>
  <c r="Y109" i="1"/>
  <c r="Q110" i="1"/>
  <c r="R110" i="1"/>
  <c r="Y110" i="1"/>
  <c r="Q111" i="1"/>
  <c r="R111" i="1"/>
  <c r="Y111" i="1"/>
  <c r="Q112" i="1"/>
  <c r="R112" i="1"/>
  <c r="Y112" i="1"/>
  <c r="Q113" i="1"/>
  <c r="R113" i="1"/>
  <c r="Y113" i="1"/>
  <c r="Q114" i="1"/>
  <c r="R114" i="1"/>
  <c r="Y114" i="1"/>
  <c r="Q115" i="1"/>
  <c r="R115" i="1"/>
  <c r="Y115" i="1"/>
  <c r="Q116" i="1"/>
  <c r="R116" i="1"/>
  <c r="Y116" i="1"/>
  <c r="Q117" i="1"/>
  <c r="R117" i="1"/>
  <c r="Y117" i="1"/>
  <c r="Q118" i="1"/>
  <c r="R118" i="1"/>
  <c r="Y118" i="1"/>
  <c r="Q119" i="1"/>
  <c r="R119" i="1"/>
  <c r="Y119" i="1"/>
  <c r="Q120" i="1"/>
  <c r="R120" i="1"/>
  <c r="Y120" i="1"/>
  <c r="Q121" i="1"/>
  <c r="R121" i="1"/>
  <c r="Y121" i="1"/>
  <c r="Q122" i="1"/>
  <c r="R122" i="1"/>
  <c r="Y122" i="1"/>
  <c r="Q123" i="1"/>
  <c r="R123" i="1"/>
  <c r="Y123" i="1"/>
  <c r="Q124" i="1"/>
  <c r="R124" i="1"/>
  <c r="Y124" i="1"/>
  <c r="Q125" i="1"/>
  <c r="R125" i="1"/>
  <c r="Y125" i="1"/>
  <c r="Q126" i="1"/>
  <c r="R126" i="1"/>
  <c r="Y126" i="1"/>
  <c r="Q127" i="1"/>
  <c r="R127" i="1"/>
  <c r="Y127" i="1"/>
  <c r="Q128" i="1"/>
  <c r="R128" i="1"/>
  <c r="Y128" i="1"/>
  <c r="Q129" i="1"/>
  <c r="R129" i="1"/>
  <c r="Y129" i="1"/>
  <c r="Q130" i="1"/>
  <c r="R130" i="1"/>
  <c r="Y130" i="1"/>
  <c r="Q131" i="1"/>
  <c r="R131" i="1"/>
  <c r="Y131" i="1"/>
  <c r="Q132" i="1"/>
  <c r="R132" i="1"/>
  <c r="Y132" i="1"/>
  <c r="Q133" i="1"/>
  <c r="R133" i="1"/>
  <c r="Y133" i="1"/>
  <c r="Q134" i="1"/>
  <c r="R134" i="1"/>
  <c r="Y134" i="1"/>
  <c r="Q135" i="1"/>
  <c r="R135" i="1"/>
  <c r="Y135" i="1"/>
  <c r="Q136" i="1"/>
  <c r="R136" i="1"/>
  <c r="Y136" i="1"/>
  <c r="Q137" i="1"/>
  <c r="R137" i="1"/>
  <c r="Y137" i="1"/>
  <c r="Q138" i="1"/>
  <c r="R138" i="1"/>
  <c r="Y138" i="1"/>
  <c r="Y106" i="1"/>
  <c r="R106" i="1"/>
  <c r="Q106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Q89" i="1"/>
  <c r="R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Y88" i="1"/>
  <c r="R88" i="1"/>
  <c r="Q88" i="1"/>
  <c r="Q43" i="1" l="1"/>
  <c r="R43" i="1"/>
  <c r="Y43" i="1"/>
  <c r="Q44" i="1"/>
  <c r="R44" i="1"/>
  <c r="Y44" i="1"/>
  <c r="Q45" i="1"/>
  <c r="R45" i="1"/>
  <c r="Y45" i="1"/>
  <c r="Q46" i="1"/>
  <c r="R46" i="1"/>
  <c r="Y46" i="1"/>
  <c r="Q47" i="1"/>
  <c r="R47" i="1"/>
  <c r="Y47" i="1"/>
  <c r="Q48" i="1"/>
  <c r="R48" i="1"/>
  <c r="Y48" i="1"/>
  <c r="Q49" i="1"/>
  <c r="R49" i="1"/>
  <c r="Y49" i="1"/>
  <c r="Q50" i="1"/>
  <c r="R50" i="1"/>
  <c r="Y50" i="1"/>
  <c r="Q51" i="1"/>
  <c r="R51" i="1"/>
  <c r="Y51" i="1"/>
  <c r="Q52" i="1"/>
  <c r="R52" i="1"/>
  <c r="Y52" i="1"/>
  <c r="Q53" i="1"/>
  <c r="R53" i="1"/>
  <c r="Y53" i="1"/>
  <c r="Q54" i="1"/>
  <c r="R54" i="1"/>
  <c r="Y54" i="1"/>
  <c r="Q55" i="1"/>
  <c r="R55" i="1"/>
  <c r="Y55" i="1"/>
  <c r="Q56" i="1"/>
  <c r="R56" i="1"/>
  <c r="Y56" i="1"/>
  <c r="Q57" i="1"/>
  <c r="R57" i="1"/>
  <c r="Y57" i="1"/>
  <c r="Q58" i="1"/>
  <c r="R58" i="1"/>
  <c r="Y58" i="1"/>
  <c r="Q59" i="1"/>
  <c r="R59" i="1"/>
  <c r="Y59" i="1"/>
  <c r="Q60" i="1"/>
  <c r="R60" i="1"/>
  <c r="Y60" i="1"/>
  <c r="Q61" i="1"/>
  <c r="R61" i="1"/>
  <c r="Y61" i="1"/>
  <c r="Q62" i="1"/>
  <c r="R62" i="1"/>
  <c r="Y62" i="1"/>
  <c r="Q63" i="1"/>
  <c r="R63" i="1"/>
  <c r="Y63" i="1"/>
  <c r="Q64" i="1"/>
  <c r="R64" i="1"/>
  <c r="Y64" i="1"/>
  <c r="Q65" i="1"/>
  <c r="R65" i="1"/>
  <c r="Y65" i="1"/>
  <c r="Q66" i="1"/>
  <c r="R66" i="1"/>
  <c r="Y66" i="1"/>
  <c r="Q67" i="1"/>
  <c r="R67" i="1"/>
  <c r="Y67" i="1"/>
  <c r="Q68" i="1"/>
  <c r="R68" i="1"/>
  <c r="Y68" i="1"/>
  <c r="Q69" i="1"/>
  <c r="R69" i="1"/>
  <c r="Y69" i="1"/>
  <c r="Q70" i="1"/>
  <c r="R70" i="1"/>
  <c r="Y70" i="1"/>
  <c r="Q71" i="1"/>
  <c r="R71" i="1"/>
  <c r="Y71" i="1"/>
  <c r="Q72" i="1"/>
  <c r="R72" i="1"/>
  <c r="Y72" i="1"/>
  <c r="Q73" i="1"/>
  <c r="R73" i="1"/>
  <c r="Y73" i="1"/>
  <c r="Q74" i="1"/>
  <c r="R74" i="1"/>
  <c r="Y74" i="1"/>
  <c r="Q75" i="1"/>
  <c r="R75" i="1"/>
  <c r="Y75" i="1"/>
  <c r="Q76" i="1"/>
  <c r="R76" i="1"/>
  <c r="Y76" i="1"/>
  <c r="Q77" i="1"/>
  <c r="R77" i="1"/>
  <c r="Y77" i="1"/>
  <c r="Q78" i="1"/>
  <c r="R78" i="1"/>
  <c r="Y78" i="1"/>
  <c r="Q79" i="1"/>
  <c r="R79" i="1"/>
  <c r="Y79" i="1"/>
  <c r="Q80" i="1"/>
  <c r="R80" i="1"/>
  <c r="Y80" i="1"/>
  <c r="Q81" i="1"/>
  <c r="R81" i="1"/>
  <c r="Y81" i="1"/>
  <c r="Q82" i="1"/>
  <c r="R82" i="1"/>
  <c r="Y82" i="1"/>
  <c r="Q83" i="1"/>
  <c r="R83" i="1"/>
  <c r="Y83" i="1"/>
  <c r="Q84" i="1"/>
  <c r="R84" i="1"/>
  <c r="Y84" i="1"/>
  <c r="Q85" i="1"/>
  <c r="R85" i="1"/>
  <c r="Y85" i="1"/>
  <c r="Q86" i="1"/>
  <c r="R86" i="1"/>
  <c r="Y86" i="1"/>
  <c r="Q87" i="1"/>
  <c r="R87" i="1"/>
  <c r="Y87" i="1"/>
  <c r="Y42" i="1"/>
  <c r="R42" i="1"/>
  <c r="Q42" i="1"/>
  <c r="Y33" i="1"/>
  <c r="Y34" i="1"/>
  <c r="Y35" i="1"/>
  <c r="Y36" i="1"/>
  <c r="Y37" i="1"/>
  <c r="Y38" i="1"/>
  <c r="Y39" i="1"/>
  <c r="Y40" i="1"/>
  <c r="Y41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Y32" i="1"/>
  <c r="R32" i="1"/>
  <c r="Q32" i="1"/>
  <c r="Y4" i="1"/>
  <c r="Y5" i="1"/>
  <c r="Y6" i="1"/>
  <c r="Y7" i="1"/>
  <c r="Y8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Y3" i="1"/>
  <c r="R3" i="1"/>
  <c r="Q3" i="1"/>
  <c r="Y2" i="1"/>
  <c r="Q2" i="1"/>
  <c r="R2" i="1"/>
  <c r="I56" i="3" l="1"/>
  <c r="I55" i="3"/>
  <c r="I61" i="3"/>
  <c r="I59" i="3"/>
  <c r="I58" i="3"/>
  <c r="I57" i="3"/>
  <c r="G6" i="3"/>
  <c r="N6" i="8" s="1"/>
  <c r="I60" i="3" l="1"/>
  <c r="J56" i="3" s="1"/>
  <c r="J59" i="3" l="1"/>
  <c r="J55" i="3"/>
  <c r="J58" i="3"/>
  <c r="J57" i="3"/>
  <c r="J60" i="3" l="1"/>
  <c r="B31" i="3"/>
  <c r="C3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Nithin Jinaga</author>
  </authors>
  <commentList>
    <comment ref="U23" authorId="0" shapeId="0" xr:uid="{E4B3CBCB-4391-4B71-917E-B14A5B85CD49}">
      <text>
        <r>
          <rPr>
            <b/>
            <sz val="9"/>
            <color indexed="81"/>
            <rFont val="Tahoma"/>
            <family val="2"/>
          </rPr>
          <t>Nithin Jinaga:</t>
        </r>
        <r>
          <rPr>
            <sz val="9"/>
            <color indexed="81"/>
            <rFont val="Tahoma"/>
            <family val="2"/>
          </rPr>
          <t xml:space="preserve">
Cold Soldering</t>
        </r>
      </text>
    </comment>
  </commentList>
</comments>
</file>

<file path=xl/sharedStrings.xml><?xml version="1.0" encoding="utf-8"?>
<sst xmlns="http://schemas.openxmlformats.org/spreadsheetml/2006/main" count="14855" uniqueCount="1203">
  <si>
    <t>Date</t>
  </si>
  <si>
    <t>Day</t>
  </si>
  <si>
    <t>Site</t>
  </si>
  <si>
    <t>Area</t>
  </si>
  <si>
    <t>State</t>
  </si>
  <si>
    <t>No Of Complaints</t>
  </si>
  <si>
    <t>Visited by</t>
  </si>
  <si>
    <t>Complaint ID</t>
  </si>
  <si>
    <t>Status</t>
  </si>
  <si>
    <t>Remarks</t>
  </si>
  <si>
    <t>Complaints Register Link</t>
  </si>
  <si>
    <t>Start Date</t>
  </si>
  <si>
    <t>End Day</t>
  </si>
  <si>
    <t>Remarka</t>
  </si>
  <si>
    <t>TRUE SUN TRADING COMPANY</t>
  </si>
  <si>
    <t>Iverkala</t>
  </si>
  <si>
    <t>Kerala</t>
  </si>
  <si>
    <t>Pavan</t>
  </si>
  <si>
    <t>PE16062604</t>
  </si>
  <si>
    <t>Closed</t>
  </si>
  <si>
    <t>Retrofit</t>
  </si>
  <si>
    <t>Ayana</t>
  </si>
  <si>
    <t>Zura</t>
  </si>
  <si>
    <t>Gujarat</t>
  </si>
  <si>
    <t>Kamal + Raja + Kunal</t>
  </si>
  <si>
    <t>PE04062601</t>
  </si>
  <si>
    <t>First Energy</t>
  </si>
  <si>
    <t>Tirunelveli</t>
  </si>
  <si>
    <t>Tamil Nadu</t>
  </si>
  <si>
    <t>Bhimsen + Bani + Gourab</t>
  </si>
  <si>
    <t>PE22042601</t>
  </si>
  <si>
    <t>Inspection</t>
  </si>
  <si>
    <t>Bhimsen</t>
  </si>
  <si>
    <t>Yanara Power</t>
  </si>
  <si>
    <t>Holi</t>
  </si>
  <si>
    <t>Maharashtra</t>
  </si>
  <si>
    <t>Amit</t>
  </si>
  <si>
    <t>PE01052601</t>
  </si>
  <si>
    <t>WIP</t>
  </si>
  <si>
    <t>Freyr Energy</t>
  </si>
  <si>
    <t>Kurnool</t>
  </si>
  <si>
    <t>Andhra Pradesh</t>
  </si>
  <si>
    <t>PE19062602</t>
  </si>
  <si>
    <t>Panasonic</t>
  </si>
  <si>
    <t>Nagpur</t>
  </si>
  <si>
    <t>PE26062602</t>
  </si>
  <si>
    <t>Arsiga Solar</t>
  </si>
  <si>
    <t>Lucknow</t>
  </si>
  <si>
    <t>UP</t>
  </si>
  <si>
    <t>By Mail</t>
  </si>
  <si>
    <t>PE09072601</t>
  </si>
  <si>
    <t>Vertual Inspection</t>
  </si>
  <si>
    <t>Solar Square</t>
  </si>
  <si>
    <t>Pune</t>
  </si>
  <si>
    <t>PE02012603</t>
  </si>
  <si>
    <t>PE08052602</t>
  </si>
  <si>
    <t>PE02072601</t>
  </si>
  <si>
    <t>Jaipur</t>
  </si>
  <si>
    <t>Rajasthan</t>
  </si>
  <si>
    <t>PE28042601</t>
  </si>
  <si>
    <t>KANPUR</t>
  </si>
  <si>
    <t>PE02072606</t>
  </si>
  <si>
    <t>Vashi</t>
  </si>
  <si>
    <t>Kolhapur</t>
  </si>
  <si>
    <t>PE16072601</t>
  </si>
  <si>
    <t>DSH Trading</t>
  </si>
  <si>
    <t>PE17062602</t>
  </si>
  <si>
    <t>Axitec Energy</t>
  </si>
  <si>
    <t>Trivandrum</t>
  </si>
  <si>
    <t>PE17062601</t>
  </si>
  <si>
    <t>Inspection &amp; Vertual Inspection</t>
  </si>
  <si>
    <t>PE16072603</t>
  </si>
  <si>
    <t>Nabhas Construction</t>
  </si>
  <si>
    <t>Hyderabad</t>
  </si>
  <si>
    <t>Telangana</t>
  </si>
  <si>
    <t>Gaurab</t>
  </si>
  <si>
    <t>PE17072601</t>
  </si>
  <si>
    <t>Gurugram</t>
  </si>
  <si>
    <t>Haryana</t>
  </si>
  <si>
    <t>Kamal</t>
  </si>
  <si>
    <t>PE03072601</t>
  </si>
  <si>
    <t>PE15072602</t>
  </si>
  <si>
    <t>Bhimsen + Raja</t>
  </si>
  <si>
    <t>PE24072603</t>
  </si>
  <si>
    <t>PE11072604</t>
  </si>
  <si>
    <t>PE14072603</t>
  </si>
  <si>
    <t>PE18072603</t>
  </si>
  <si>
    <t>PE18072604</t>
  </si>
  <si>
    <t>PE21072601</t>
  </si>
  <si>
    <t>RATNAGIRI</t>
  </si>
  <si>
    <t>PE27072601</t>
  </si>
  <si>
    <t>Udaipur</t>
  </si>
  <si>
    <t>Panasonic Team</t>
  </si>
  <si>
    <t>PE26062601</t>
  </si>
  <si>
    <t>Belagavi</t>
  </si>
  <si>
    <t>Karnataka</t>
  </si>
  <si>
    <t>PE18072601</t>
  </si>
  <si>
    <t>Year</t>
  </si>
  <si>
    <t>Complaint Raised By</t>
  </si>
  <si>
    <t>Client Type</t>
  </si>
  <si>
    <t>Project Name</t>
  </si>
  <si>
    <t>Current Status</t>
  </si>
  <si>
    <t>Claim Reported By</t>
  </si>
  <si>
    <t>Contact No.</t>
  </si>
  <si>
    <t>Contract / Complaint  / Invoice No.</t>
  </si>
  <si>
    <t>Customer Reported Problem</t>
  </si>
  <si>
    <t>Venue / Location</t>
  </si>
  <si>
    <t>Field Evaluation</t>
  </si>
  <si>
    <t>Our Evaluation</t>
  </si>
  <si>
    <t>PV Panels Wp</t>
  </si>
  <si>
    <t>Module Serial Number</t>
  </si>
  <si>
    <t>Module Make Year</t>
  </si>
  <si>
    <t>Module Make Month</t>
  </si>
  <si>
    <t>Module Type</t>
  </si>
  <si>
    <t>Manufacturing Plant</t>
  </si>
  <si>
    <t>Remark</t>
  </si>
  <si>
    <t>Action Taken</t>
  </si>
  <si>
    <t>Resolution Type</t>
  </si>
  <si>
    <t>Date of Claim Settled</t>
  </si>
  <si>
    <t>Claim Settlement Duration</t>
  </si>
  <si>
    <t>Visit Date</t>
  </si>
  <si>
    <t>Rework Srl No.</t>
  </si>
  <si>
    <t>Work details</t>
  </si>
  <si>
    <t>Channel Sales</t>
  </si>
  <si>
    <t>Sarath Ananda</t>
  </si>
  <si>
    <t>Low VOC</t>
  </si>
  <si>
    <t>PR</t>
  </si>
  <si>
    <t>JB Issue</t>
  </si>
  <si>
    <t>NSMP2303564668</t>
  </si>
  <si>
    <t>G2B</t>
  </si>
  <si>
    <t>P2 - PEPPL</t>
  </si>
  <si>
    <t>P JB Issue</t>
  </si>
  <si>
    <t>JB Changed</t>
  </si>
  <si>
    <t>Repair</t>
  </si>
  <si>
    <t>IPP/Utility</t>
  </si>
  <si>
    <t>Vasu.N</t>
  </si>
  <si>
    <t>Module burnt</t>
  </si>
  <si>
    <t>NS</t>
  </si>
  <si>
    <t>Cold Soldering</t>
  </si>
  <si>
    <t>NSMI24100660910</t>
  </si>
  <si>
    <t>G2G</t>
  </si>
  <si>
    <t>P4 - PEIPL</t>
  </si>
  <si>
    <t>N JB Cold Soldering</t>
  </si>
  <si>
    <t>Soldering</t>
  </si>
  <si>
    <t>NSMI24100645556</t>
  </si>
  <si>
    <t>P JB Diode Issue</t>
  </si>
  <si>
    <t>PS</t>
  </si>
  <si>
    <t>NSMI24100686458</t>
  </si>
  <si>
    <t>P JB Cold Soldering</t>
  </si>
  <si>
    <t>NSMI24100687353</t>
  </si>
  <si>
    <t>NSMI24100686144</t>
  </si>
  <si>
    <t>NSMI24100666184</t>
  </si>
  <si>
    <t>PNS</t>
  </si>
  <si>
    <t>NSMI24110794434</t>
  </si>
  <si>
    <t>P &amp; N JB Cold Soldering</t>
  </si>
  <si>
    <t>NSMI24100665977</t>
  </si>
  <si>
    <t>NSMI24110798123</t>
  </si>
  <si>
    <t>NSMI24100649135</t>
  </si>
  <si>
    <t>NSMI24110795313</t>
  </si>
  <si>
    <t>NSMI24110795306</t>
  </si>
  <si>
    <t>NSMI24110795454</t>
  </si>
  <si>
    <t>NSMI24100663588</t>
  </si>
  <si>
    <t>NSMI24100663787</t>
  </si>
  <si>
    <t>NSMI24100668842</t>
  </si>
  <si>
    <t>NSMI24100649814</t>
  </si>
  <si>
    <t>NSMI24100658637</t>
  </si>
  <si>
    <t>NSMI24100643199</t>
  </si>
  <si>
    <t>NSMI24100642773</t>
  </si>
  <si>
    <t>NSMI24100633671</t>
  </si>
  <si>
    <t>NSMI24110805580</t>
  </si>
  <si>
    <t>NSMI24110811893</t>
  </si>
  <si>
    <t>NSMI24110850259</t>
  </si>
  <si>
    <t>NSMI24100633383</t>
  </si>
  <si>
    <t>JB Reverse</t>
  </si>
  <si>
    <t>NSMI24100628034</t>
  </si>
  <si>
    <t>All JB Reverse Issue</t>
  </si>
  <si>
    <t>NSMI24110845875</t>
  </si>
  <si>
    <t>NSMI24110843759</t>
  </si>
  <si>
    <t>NSMI24110828780</t>
  </si>
  <si>
    <t>Utility and C&amp;I</t>
  </si>
  <si>
    <t>Saravanakumar</t>
  </si>
  <si>
    <t>Anomalies/defects in the modules</t>
  </si>
  <si>
    <t>NSMP2305161339</t>
  </si>
  <si>
    <t>NSMP2305161283</t>
  </si>
  <si>
    <t>NSMP2305161186</t>
  </si>
  <si>
    <t>NSMP2305140652</t>
  </si>
  <si>
    <t>NSMP2305161022</t>
  </si>
  <si>
    <t>NSMP2305159096</t>
  </si>
  <si>
    <t>NSMP2305156548</t>
  </si>
  <si>
    <t>NSMP2305186679</t>
  </si>
  <si>
    <t>NSMP2305140925</t>
  </si>
  <si>
    <t>NSMP2305142498</t>
  </si>
  <si>
    <t>NSMI24100649637</t>
  </si>
  <si>
    <t>NSMI24100646900</t>
  </si>
  <si>
    <t>NSMI24100659800</t>
  </si>
  <si>
    <t>NSMI24100643019</t>
  </si>
  <si>
    <t>NSMI24100643440</t>
  </si>
  <si>
    <t>NSMI24100658477</t>
  </si>
  <si>
    <t>NSMI24110802333</t>
  </si>
  <si>
    <t>NSMI24100610173</t>
  </si>
  <si>
    <t>NSMI24100634439</t>
  </si>
  <si>
    <t>NSMI24100665316</t>
  </si>
  <si>
    <t>NSMI24100667590</t>
  </si>
  <si>
    <t>NSMI24100689363</t>
  </si>
  <si>
    <t>NSMI24100684498</t>
  </si>
  <si>
    <t>NSMI24100644077</t>
  </si>
  <si>
    <t>NSMI24100646907</t>
  </si>
  <si>
    <t>NSMI24100668795</t>
  </si>
  <si>
    <t>NSMI24100650220</t>
  </si>
  <si>
    <t>NSMI24100643356</t>
  </si>
  <si>
    <t>NSMI24100643286</t>
  </si>
  <si>
    <t>NSMI24100644306</t>
  </si>
  <si>
    <t>NSMI24100685618</t>
  </si>
  <si>
    <t>NSMI24100615208</t>
  </si>
  <si>
    <t>NSMI24100650064</t>
  </si>
  <si>
    <t>NSMI24100649204</t>
  </si>
  <si>
    <t>NSMI24100667519</t>
  </si>
  <si>
    <t>NSMI24100659991</t>
  </si>
  <si>
    <t>NSMI24100657297</t>
  </si>
  <si>
    <t>NSMI24100658329</t>
  </si>
  <si>
    <t>NSMI24100658257</t>
  </si>
  <si>
    <t>NSMI24100668606</t>
  </si>
  <si>
    <t>NSMI24100668511</t>
  </si>
  <si>
    <t>NSMI24100659105</t>
  </si>
  <si>
    <t>NSMI24110795430</t>
  </si>
  <si>
    <t>NSMI24100687570</t>
  </si>
  <si>
    <t>NSMI24100634619</t>
  </si>
  <si>
    <t>NSMI24110850460</t>
  </si>
  <si>
    <t>NSMI24100636622</t>
  </si>
  <si>
    <t>NSMI24100608751</t>
  </si>
  <si>
    <t>NSMI24110837748</t>
  </si>
  <si>
    <t>NSMI24100609632</t>
  </si>
  <si>
    <t>NSMI24110853766</t>
  </si>
  <si>
    <t>NSMI24110853778</t>
  </si>
  <si>
    <t>NSMI24110853764</t>
  </si>
  <si>
    <t>NSMI24110822339</t>
  </si>
  <si>
    <t>NSMI24100632073</t>
  </si>
  <si>
    <t>NSMI24100627549</t>
  </si>
  <si>
    <t>NSMP2305141286</t>
  </si>
  <si>
    <t>NSMP2305156936</t>
  </si>
  <si>
    <t>NSMP2305186022</t>
  </si>
  <si>
    <t>NSMP2305157386</t>
  </si>
  <si>
    <t>NSMP2305159296</t>
  </si>
  <si>
    <t>NSMP2305184619</t>
  </si>
  <si>
    <t>NSMP2305185053</t>
  </si>
  <si>
    <t>NSMP2305186694</t>
  </si>
  <si>
    <t>NSMP2305186767</t>
  </si>
  <si>
    <t>NSMP2305158081</t>
  </si>
  <si>
    <t>NSMP2305158014</t>
  </si>
  <si>
    <t>NSMP2305186057</t>
  </si>
  <si>
    <t>NSMP2305160795</t>
  </si>
  <si>
    <t>NSMP2305161285</t>
  </si>
  <si>
    <t>NSMP2305161299</t>
  </si>
  <si>
    <t>NSMP2305161216</t>
  </si>
  <si>
    <t>Backsheet Damege by external</t>
  </si>
  <si>
    <t>Backsheet Damage</t>
  </si>
  <si>
    <t>NSMP2305186733</t>
  </si>
  <si>
    <t>External hit by something</t>
  </si>
  <si>
    <t>Onsite Inspection</t>
  </si>
  <si>
    <t>Rejected</t>
  </si>
  <si>
    <t>NSMP2308499903</t>
  </si>
  <si>
    <t>NSMI24100659020</t>
  </si>
  <si>
    <t>NSMI24100641010</t>
  </si>
  <si>
    <t>NSMI24100681542</t>
  </si>
  <si>
    <t>NSMI24100650424</t>
  </si>
  <si>
    <t>NSMI24100662264</t>
  </si>
  <si>
    <t>NSMI24100641024</t>
  </si>
  <si>
    <t>NSMI24100627251</t>
  </si>
  <si>
    <t>NSMI24110837710</t>
  </si>
  <si>
    <t>NSMI24110830704</t>
  </si>
  <si>
    <t>NSMI24110846179</t>
  </si>
  <si>
    <t>NSMI24110849840</t>
  </si>
  <si>
    <t>NSMI24100596565</t>
  </si>
  <si>
    <t>NSMI24110835893</t>
  </si>
  <si>
    <t>NSMI24110833725</t>
  </si>
  <si>
    <t>NSMI24110841452</t>
  </si>
  <si>
    <t>OK</t>
  </si>
  <si>
    <t>No Issue Found</t>
  </si>
  <si>
    <t>NSMI24110817105</t>
  </si>
  <si>
    <t>Found OK</t>
  </si>
  <si>
    <t>NSMI24110827496</t>
  </si>
  <si>
    <t>NSMI24110819417</t>
  </si>
  <si>
    <t>NSMI24110822457</t>
  </si>
  <si>
    <t>NSMI24110815649</t>
  </si>
  <si>
    <t>NSMI24110835853</t>
  </si>
  <si>
    <t>NSMI24110839905</t>
  </si>
  <si>
    <t>NSMI24100631241</t>
  </si>
  <si>
    <t>NSMI24100632142</t>
  </si>
  <si>
    <t>NSMI24110853722</t>
  </si>
  <si>
    <t>NSMI24110802221</t>
  </si>
  <si>
    <t>NSMI24110847342</t>
  </si>
  <si>
    <t>NSMI24110847411</t>
  </si>
  <si>
    <t>NSMI24100635245</t>
  </si>
  <si>
    <t>NSMI24100635293</t>
  </si>
  <si>
    <t>NSMI24110843523</t>
  </si>
  <si>
    <t>NSMI24100627511</t>
  </si>
  <si>
    <t>NSMI24110809234</t>
  </si>
  <si>
    <t>NSMI24100668554</t>
  </si>
  <si>
    <t>NSMI24110799934</t>
  </si>
  <si>
    <t>NSMI24100663208</t>
  </si>
  <si>
    <t>NSMI24100665260</t>
  </si>
  <si>
    <t>NSMI24100658565</t>
  </si>
  <si>
    <t>NSMI24110792178</t>
  </si>
  <si>
    <t>NSMI24110808825</t>
  </si>
  <si>
    <t>NSMI24110809929</t>
  </si>
  <si>
    <t>NSMI24110824860</t>
  </si>
  <si>
    <t>NSMI24110847776</t>
  </si>
  <si>
    <t>NSMI24110852885</t>
  </si>
  <si>
    <t>NR</t>
  </si>
  <si>
    <t>NSMI24110845445</t>
  </si>
  <si>
    <t>N JB Diode Issue</t>
  </si>
  <si>
    <t>Glass Broken</t>
  </si>
  <si>
    <t>Glass Breakage</t>
  </si>
  <si>
    <t>NSMI24110854378</t>
  </si>
  <si>
    <t>Glass Breakage due to external hit by something</t>
  </si>
  <si>
    <t>NSMI24110851136</t>
  </si>
  <si>
    <t>NSMI24110848970</t>
  </si>
  <si>
    <t>NSMI24110854151</t>
  </si>
  <si>
    <t>NSMI24110809199</t>
  </si>
  <si>
    <t>NSMI24110854162</t>
  </si>
  <si>
    <t>NSMI24110850918</t>
  </si>
  <si>
    <t>NSMI24110809221</t>
  </si>
  <si>
    <t>NSMI24110850811</t>
  </si>
  <si>
    <t>NSMI24110829857</t>
  </si>
  <si>
    <t>NSMI24110829803</t>
  </si>
  <si>
    <t>NSMI24110831532</t>
  </si>
  <si>
    <t>NSMI24110805708</t>
  </si>
  <si>
    <t>NSMI24110803331</t>
  </si>
  <si>
    <t>NSMI24110828191</t>
  </si>
  <si>
    <t>NSMI24110819243</t>
  </si>
  <si>
    <t>NSMI24110810166</t>
  </si>
  <si>
    <t>NSMI24110829856</t>
  </si>
  <si>
    <t>NSMI24110844034</t>
  </si>
  <si>
    <t>NSMI24110845824</t>
  </si>
  <si>
    <t>NSMI24110829022</t>
  </si>
  <si>
    <t>NSMI24110851528</t>
  </si>
  <si>
    <t>NSMI24110810637</t>
  </si>
  <si>
    <t>NSMI24110833872</t>
  </si>
  <si>
    <t>NSMI24110833887</t>
  </si>
  <si>
    <t>NSMI24110833791</t>
  </si>
  <si>
    <t>NSMI24110808331</t>
  </si>
  <si>
    <t>NSMI24110846003</t>
  </si>
  <si>
    <t>NSMI24110845970</t>
  </si>
  <si>
    <t>NSMI24110848146</t>
  </si>
  <si>
    <t>NSMI24110833541</t>
  </si>
  <si>
    <t>NSMI24110803903</t>
  </si>
  <si>
    <t>NSMI24110847716</t>
  </si>
  <si>
    <t>NSMI24110847443</t>
  </si>
  <si>
    <t>NSMI24110833855</t>
  </si>
  <si>
    <t>NSMI24110834414</t>
  </si>
  <si>
    <t>NSMI24110819487</t>
  </si>
  <si>
    <t>NSMI24100630718</t>
  </si>
  <si>
    <t>NSMI24100635773</t>
  </si>
  <si>
    <t>NSMI24100635968</t>
  </si>
  <si>
    <t>NSMI24110807682</t>
  </si>
  <si>
    <t>NSMI24110841222</t>
  </si>
  <si>
    <t>NSMI24110839427</t>
  </si>
  <si>
    <t>NSMI24110822088</t>
  </si>
  <si>
    <t>NSMI24110822206</t>
  </si>
  <si>
    <t>NSMI24110840180</t>
  </si>
  <si>
    <t>NSMI24110854239</t>
  </si>
  <si>
    <t>NSMI24110836056</t>
  </si>
  <si>
    <t>NSMI24110836052</t>
  </si>
  <si>
    <t>NSMI24110843423</t>
  </si>
  <si>
    <t>NSMI24110811770</t>
  </si>
  <si>
    <t>NSMI24110828709</t>
  </si>
  <si>
    <t>NSMI24110814289</t>
  </si>
  <si>
    <t>NSMI24110850420</t>
  </si>
  <si>
    <t>NSMI24110849020</t>
  </si>
  <si>
    <t>NSMI24110826410</t>
  </si>
  <si>
    <t>NSMI24110827236</t>
  </si>
  <si>
    <t>NSMI24110821963</t>
  </si>
  <si>
    <t>NSMI24110802421</t>
  </si>
  <si>
    <t>NSMI24110819957</t>
  </si>
  <si>
    <t>NSMI24110841502</t>
  </si>
  <si>
    <t>NSMI24110827428</t>
  </si>
  <si>
    <t>NSMI24110842452</t>
  </si>
  <si>
    <t>NSMI24110835687</t>
  </si>
  <si>
    <t>NSMI24110827466</t>
  </si>
  <si>
    <t>NSMI24110827407</t>
  </si>
  <si>
    <t>NSMI24110849770</t>
  </si>
  <si>
    <t>NSMI24110849807</t>
  </si>
  <si>
    <t>NSMI24110843573</t>
  </si>
  <si>
    <t>NSMI24110855632</t>
  </si>
  <si>
    <t>NSMI24110855633</t>
  </si>
  <si>
    <t>NSMI24110847188</t>
  </si>
  <si>
    <t>NSMI24110846235</t>
  </si>
  <si>
    <t>NSMI24110847519</t>
  </si>
  <si>
    <t>NSMI24110841989</t>
  </si>
  <si>
    <t>NSMI24110841946</t>
  </si>
  <si>
    <t>NSMI24110842004</t>
  </si>
  <si>
    <t>NSMI24110841437</t>
  </si>
  <si>
    <t>NSMI24110855669</t>
  </si>
  <si>
    <t>NSMI24110851059</t>
  </si>
  <si>
    <t>NSMI24110845652</t>
  </si>
  <si>
    <t>NSMI24110845778</t>
  </si>
  <si>
    <t>NSMI24100627512</t>
  </si>
  <si>
    <t>NSMI24100627501</t>
  </si>
  <si>
    <t>NSMI24110835783</t>
  </si>
  <si>
    <t>NSMI24110835773</t>
  </si>
  <si>
    <t>NSMI24110849622</t>
  </si>
  <si>
    <t>NSMI24110849619</t>
  </si>
  <si>
    <t>NSMI24110837635</t>
  </si>
  <si>
    <t>NSMI24110814832</t>
  </si>
  <si>
    <t>NSMI24110839915</t>
  </si>
  <si>
    <t>NSMI24110850734</t>
  </si>
  <si>
    <t>NSMI24100613087</t>
  </si>
  <si>
    <t>NSMI24100630163</t>
  </si>
  <si>
    <t>NSMI24110845961</t>
  </si>
  <si>
    <t>NSMI24110846321</t>
  </si>
  <si>
    <t>NSMI24110846264</t>
  </si>
  <si>
    <t>NSMI24110835801</t>
  </si>
  <si>
    <t>NSMI24110847189</t>
  </si>
  <si>
    <t>NSMI24110829692</t>
  </si>
  <si>
    <t>NSMI24110840926</t>
  </si>
  <si>
    <t>NSMI24110828367</t>
  </si>
  <si>
    <t>NSMI24110818407</t>
  </si>
  <si>
    <t>NSMI24100630111</t>
  </si>
  <si>
    <t>NSMP2305158895</t>
  </si>
  <si>
    <t>NSMP2305156317</t>
  </si>
  <si>
    <t>NSMP2305161200</t>
  </si>
  <si>
    <t>NSMP2305186235</t>
  </si>
  <si>
    <t>NSMP2305186286</t>
  </si>
  <si>
    <t>NSMP2305186284</t>
  </si>
  <si>
    <t>NSMP2305143318</t>
  </si>
  <si>
    <t>NSMP2305141380</t>
  </si>
  <si>
    <t>NSMP2305143287</t>
  </si>
  <si>
    <t>NSMP2306323053</t>
  </si>
  <si>
    <t xml:space="preserve">Ashish Jindal </t>
  </si>
  <si>
    <t>Hotspot Issues</t>
  </si>
  <si>
    <t>MULTIPLE HOTSPOT</t>
  </si>
  <si>
    <t>Hotspot</t>
  </si>
  <si>
    <t>NSMI24070192988</t>
  </si>
  <si>
    <t>Multiple Hotspot Issue</t>
  </si>
  <si>
    <t>NSMI24070198984</t>
  </si>
  <si>
    <t>NSMI24070196603</t>
  </si>
  <si>
    <t>NSMI24070196596</t>
  </si>
  <si>
    <t>NSMI24070192686</t>
  </si>
  <si>
    <t>NSMI24080307804</t>
  </si>
  <si>
    <t xml:space="preserve">GLASS BROKEN </t>
  </si>
  <si>
    <t>NSMI24070202226</t>
  </si>
  <si>
    <t>Glass Breakage due to JB Tampering</t>
  </si>
  <si>
    <t>NSMI24070191326</t>
  </si>
  <si>
    <t>NSMI24070191746</t>
  </si>
  <si>
    <t>NSMI24070194735</t>
  </si>
  <si>
    <t>NSMI24070193981</t>
  </si>
  <si>
    <t>NSMI24070193969</t>
  </si>
  <si>
    <t>NSMP2306223153</t>
  </si>
  <si>
    <t>NSMP2305158511</t>
  </si>
  <si>
    <t>NSMP2306224023</t>
  </si>
  <si>
    <t>NSMP2305160761</t>
  </si>
  <si>
    <t>NSMP2305160592</t>
  </si>
  <si>
    <t>NSMP2305158542</t>
  </si>
  <si>
    <t>NSMP2305157817</t>
  </si>
  <si>
    <t>NSMP2305160852</t>
  </si>
  <si>
    <t>NSMP2305142009</t>
  </si>
  <si>
    <t>NSMP2305161176</t>
  </si>
  <si>
    <t>NSMP2305160816</t>
  </si>
  <si>
    <t>NSMP2305156151</t>
  </si>
  <si>
    <t>OEM</t>
  </si>
  <si>
    <t>Shabhash Shaik</t>
  </si>
  <si>
    <t>Voltage Issue</t>
  </si>
  <si>
    <t>AR</t>
  </si>
  <si>
    <t>NSMP26021370466</t>
  </si>
  <si>
    <t>G2TB</t>
  </si>
  <si>
    <t>All JB Diode Issue</t>
  </si>
  <si>
    <t>NSMP26021370476</t>
  </si>
  <si>
    <t>NSMP26021370392</t>
  </si>
  <si>
    <t>All JB Diode Issue &amp; Bird Drop</t>
  </si>
  <si>
    <t>Murali</t>
  </si>
  <si>
    <t>Finger interruptions and other defects</t>
  </si>
  <si>
    <t>No Visit</t>
  </si>
  <si>
    <t>EL Failure</t>
  </si>
  <si>
    <t>NSMG25100613651</t>
  </si>
  <si>
    <t>P5 - PEGPL</t>
  </si>
  <si>
    <t>Process for CN</t>
  </si>
  <si>
    <t>NSMG25100571908</t>
  </si>
  <si>
    <t>NSMG25100564789</t>
  </si>
  <si>
    <t>NSMG25100617698</t>
  </si>
  <si>
    <t>NSMG25100616594</t>
  </si>
  <si>
    <t>NSMG25100560271</t>
  </si>
  <si>
    <t>NSMG25100617362</t>
  </si>
  <si>
    <t>NSMG25100596272</t>
  </si>
  <si>
    <t>NSMG25100613741</t>
  </si>
  <si>
    <t>NSMG25100617731</t>
  </si>
  <si>
    <t>NSMG25100617427</t>
  </si>
  <si>
    <t>NSMG25100613759</t>
  </si>
  <si>
    <t>NSMG25100613401</t>
  </si>
  <si>
    <t>NSMG25100613731</t>
  </si>
  <si>
    <t>NSMG25100613718</t>
  </si>
  <si>
    <t>NSMG25100613781</t>
  </si>
  <si>
    <t>NSMG25100613732</t>
  </si>
  <si>
    <t>NSMG25100613822</t>
  </si>
  <si>
    <t>NSMG25100613897</t>
  </si>
  <si>
    <t>NSMG25100613790</t>
  </si>
  <si>
    <t>NSMG25100613899</t>
  </si>
  <si>
    <t>NSMG25100613727</t>
  </si>
  <si>
    <t>Chirag Tare</t>
  </si>
  <si>
    <t>Low generation</t>
  </si>
  <si>
    <t>NSMP2211231091</t>
  </si>
  <si>
    <t>NSMP2211232268</t>
  </si>
  <si>
    <t>NSMP2211225602</t>
  </si>
  <si>
    <t>NSMP2211232248</t>
  </si>
  <si>
    <t>NSMP2211232305</t>
  </si>
  <si>
    <t>NSMP2211232312</t>
  </si>
  <si>
    <t>NSMP2211232234</t>
  </si>
  <si>
    <t>Rakhi</t>
  </si>
  <si>
    <t>Scratch and Broken</t>
  </si>
  <si>
    <t>Asthetic</t>
  </si>
  <si>
    <t>NSMP25080678836</t>
  </si>
  <si>
    <t>Aesthetic in nature</t>
  </si>
  <si>
    <t>Virtually Rejected</t>
  </si>
  <si>
    <t>Glass breakage</t>
  </si>
  <si>
    <t>NSMP25080690139</t>
  </si>
  <si>
    <t>Spontaneous Glass Breakage</t>
  </si>
  <si>
    <t>Virtually Inspection</t>
  </si>
  <si>
    <t>NSMP2305158688</t>
  </si>
  <si>
    <t>NSMP2305185425</t>
  </si>
  <si>
    <t>NSMP2305141381</t>
  </si>
  <si>
    <t>NSMP2305188370</t>
  </si>
  <si>
    <t>NSMP2306326307</t>
  </si>
  <si>
    <t>NSMP2305160419</t>
  </si>
  <si>
    <t>NSMP2305146473</t>
  </si>
  <si>
    <t>NSMP2305146463</t>
  </si>
  <si>
    <t>NSMP2306270215</t>
  </si>
  <si>
    <t>NSMP2305158948</t>
  </si>
  <si>
    <t>NSMP2305161500</t>
  </si>
  <si>
    <t>NSMP2305186121</t>
  </si>
  <si>
    <t>NSMP2305186081</t>
  </si>
  <si>
    <t>NSMP2305184502</t>
  </si>
  <si>
    <t>NSMP2305184587</t>
  </si>
  <si>
    <t>NSMP2305186091</t>
  </si>
  <si>
    <t>NSMP2305186437</t>
  </si>
  <si>
    <t>NSMP2305186493</t>
  </si>
  <si>
    <t>NSMP2305187759</t>
  </si>
  <si>
    <t>NSMP2305187039</t>
  </si>
  <si>
    <t>NSMP2305185722</t>
  </si>
  <si>
    <t>NSMP2305186924</t>
  </si>
  <si>
    <t>NSMP2306317661</t>
  </si>
  <si>
    <t>NSMP2306259181</t>
  </si>
  <si>
    <t>NSMP2305186962</t>
  </si>
  <si>
    <t>NSMP2305187041</t>
  </si>
  <si>
    <t>NSMP2305160393</t>
  </si>
  <si>
    <t>NSMP2305159861</t>
  </si>
  <si>
    <t>NSMP2305156160</t>
  </si>
  <si>
    <t>NSMP2306222671</t>
  </si>
  <si>
    <t>MODULE BURN</t>
  </si>
  <si>
    <t>Lightning strike / Wrong connection</t>
  </si>
  <si>
    <t>NSMP25012381617</t>
  </si>
  <si>
    <t>JB,ACDB, DCDB boxes &amp; Inverter were damaged due to a lightning strike.</t>
  </si>
  <si>
    <t>NSMP25012381614</t>
  </si>
  <si>
    <t>ALL JB BURN</t>
  </si>
  <si>
    <t>NSMP25012381611</t>
  </si>
  <si>
    <t>NSMP25012381606</t>
  </si>
  <si>
    <t>NSMP25012381610</t>
  </si>
  <si>
    <t>NSMP25012379930</t>
  </si>
  <si>
    <t>NSMP25012380920</t>
  </si>
  <si>
    <t>NSMP25012381609</t>
  </si>
  <si>
    <t>Manufacturing defect</t>
  </si>
  <si>
    <t>Tab lead Burn &amp; Glass Breakage</t>
  </si>
  <si>
    <t>NSMG25060118404</t>
  </si>
  <si>
    <t>Improper ribbon/tab lead soldering</t>
  </si>
  <si>
    <t>Panel sparking</t>
  </si>
  <si>
    <t>Improper and loose clipping</t>
  </si>
  <si>
    <t>NSMP26021367742</t>
  </si>
  <si>
    <t>Overheating and subsequent burning of the MC4 connectors due to improper connection</t>
  </si>
  <si>
    <t>NSMP26021366283</t>
  </si>
  <si>
    <t>NSMP2305186985</t>
  </si>
  <si>
    <t>NSMP2305187094</t>
  </si>
  <si>
    <t>NSMP2305161002</t>
  </si>
  <si>
    <t>NSMP2306319050</t>
  </si>
  <si>
    <t>NSMP2305138978</t>
  </si>
  <si>
    <t>NSMP2306244220</t>
  </si>
  <si>
    <t>NSMP2305160539</t>
  </si>
  <si>
    <t>NSMP2305161387</t>
  </si>
  <si>
    <t>NSMP2305161335</t>
  </si>
  <si>
    <t>NSMP2306262997</t>
  </si>
  <si>
    <t>NSMP2305141673</t>
  </si>
  <si>
    <t>NSMP2305161081</t>
  </si>
  <si>
    <t>NSMP2305161114</t>
  </si>
  <si>
    <t>NSMP2305161096</t>
  </si>
  <si>
    <t>NSMP2305161098</t>
  </si>
  <si>
    <t>NSMP2305161118</t>
  </si>
  <si>
    <t>NSMP2305161136</t>
  </si>
  <si>
    <t>NSMP2305161122</t>
  </si>
  <si>
    <t xml:space="preserve">Module Broken </t>
  </si>
  <si>
    <t>NSMP2305158298</t>
  </si>
  <si>
    <t>NSMP2305159884</t>
  </si>
  <si>
    <t xml:space="preserve">NS </t>
  </si>
  <si>
    <t>NSMP2305139742</t>
  </si>
  <si>
    <t>NSMP2305156863</t>
  </si>
  <si>
    <t>NSMP2305160561</t>
  </si>
  <si>
    <t>NSMP2306213722</t>
  </si>
  <si>
    <t>NSMP2305145101</t>
  </si>
  <si>
    <t>NSMP2305145071</t>
  </si>
  <si>
    <t>NSMP2305159868</t>
  </si>
  <si>
    <t>NSMP2305186498</t>
  </si>
  <si>
    <t xml:space="preserve">JB CABLE DAMAGE </t>
  </si>
  <si>
    <t>NSMP2306213012</t>
  </si>
  <si>
    <t>NSMP2305187355</t>
  </si>
  <si>
    <t>NSMP2305149000</t>
  </si>
  <si>
    <t>NSMP2306242649</t>
  </si>
  <si>
    <t>NSMP2305156631</t>
  </si>
  <si>
    <t>NSMP2305184674</t>
  </si>
  <si>
    <t>NSMP2305184660</t>
  </si>
  <si>
    <t>NSMP2306285245</t>
  </si>
  <si>
    <t>NSMP2305159971</t>
  </si>
  <si>
    <t>NSMP2305159122</t>
  </si>
  <si>
    <t>NSMP2305157965</t>
  </si>
  <si>
    <t>NSMP2305157950</t>
  </si>
  <si>
    <t>NSMP2306324836</t>
  </si>
  <si>
    <t>NSMP2305159080</t>
  </si>
  <si>
    <t>NSMP2307327641</t>
  </si>
  <si>
    <t>NSMP2305145032</t>
  </si>
  <si>
    <t>NSMP2305139707</t>
  </si>
  <si>
    <t>NSMP2305144999</t>
  </si>
  <si>
    <t>NSMP2305185455</t>
  </si>
  <si>
    <t>NSMP2305158460</t>
  </si>
  <si>
    <t>NSMP2305161427</t>
  </si>
  <si>
    <t>Nachiket Buchade</t>
  </si>
  <si>
    <t>Busbar misalignment &amp; Cell Gap</t>
  </si>
  <si>
    <t>NSME26060161002</t>
  </si>
  <si>
    <t>NSME26060161021</t>
  </si>
  <si>
    <t>NSME26060161017</t>
  </si>
  <si>
    <t>NSME26060161011</t>
  </si>
  <si>
    <t>NSME26060161020</t>
  </si>
  <si>
    <t>NSME26060160925</t>
  </si>
  <si>
    <t>NSME26060160958</t>
  </si>
  <si>
    <t>NSME26060160977</t>
  </si>
  <si>
    <t>NSME26060160968</t>
  </si>
  <si>
    <t>NSME26060160973</t>
  </si>
  <si>
    <t>NSME26060160942</t>
  </si>
  <si>
    <t>NSME26060160940</t>
  </si>
  <si>
    <t>NSME26060160935</t>
  </si>
  <si>
    <t>NSME26060160936</t>
  </si>
  <si>
    <t>NSME26060160807</t>
  </si>
  <si>
    <t>NSME26060160851</t>
  </si>
  <si>
    <t>NSME26060160656</t>
  </si>
  <si>
    <t>NSME26060160943</t>
  </si>
  <si>
    <t>NSME26060160927</t>
  </si>
  <si>
    <t>NSME26060160978</t>
  </si>
  <si>
    <t>NSME26060160980</t>
  </si>
  <si>
    <t>NSME26060160990</t>
  </si>
  <si>
    <t>NSME26060160982</t>
  </si>
  <si>
    <t>NSME26060160975</t>
  </si>
  <si>
    <t>NSME26060158541</t>
  </si>
  <si>
    <t>NSME26060160996</t>
  </si>
  <si>
    <t>NSME26060160985</t>
  </si>
  <si>
    <t>NSME26060160901</t>
  </si>
  <si>
    <t>NSME26060160900</t>
  </si>
  <si>
    <t>NSME26060160974</t>
  </si>
  <si>
    <t>NSME26060160971</t>
  </si>
  <si>
    <t>NSME26060161144</t>
  </si>
  <si>
    <t>NSME26060161152</t>
  </si>
  <si>
    <t>NSME26060161165</t>
  </si>
  <si>
    <t>NSME26060161088</t>
  </si>
  <si>
    <t>NSME26060161192</t>
  </si>
  <si>
    <t>NSME26060161083</t>
  </si>
  <si>
    <t>NSME26060161196</t>
  </si>
  <si>
    <t>NSME26060161195</t>
  </si>
  <si>
    <t>NSME26060161186</t>
  </si>
  <si>
    <t>NSME26060161175</t>
  </si>
  <si>
    <t>NSME26060161171</t>
  </si>
  <si>
    <t>NSME26060161187</t>
  </si>
  <si>
    <t>NSME26060159958</t>
  </si>
  <si>
    <t>NSME26060160007</t>
  </si>
  <si>
    <t>NSME26060160351</t>
  </si>
  <si>
    <t>NSME26060160401</t>
  </si>
  <si>
    <t>NSME26060160393</t>
  </si>
  <si>
    <t>NSME26060160481</t>
  </si>
  <si>
    <t>NSME26060160979</t>
  </si>
  <si>
    <t>NSME26060160961</t>
  </si>
  <si>
    <t>NSME26060160903</t>
  </si>
  <si>
    <t>NSME26060160952</t>
  </si>
  <si>
    <t>NSME26060160946</t>
  </si>
  <si>
    <t>NSME26060159540</t>
  </si>
  <si>
    <t>NSME26060160963</t>
  </si>
  <si>
    <t>NSME26060160947</t>
  </si>
  <si>
    <t>NSME26060160937</t>
  </si>
  <si>
    <t>NSME26060160950</t>
  </si>
  <si>
    <t>NSME26060160423</t>
  </si>
  <si>
    <t>NSME26060160893</t>
  </si>
  <si>
    <t>NSME26060160860</t>
  </si>
  <si>
    <t>NSME26060160945</t>
  </si>
  <si>
    <t>NSME26060160944</t>
  </si>
  <si>
    <t>NSME26060160959</t>
  </si>
  <si>
    <t>NSME26060160921</t>
  </si>
  <si>
    <t>NSME26060160954</t>
  </si>
  <si>
    <t>NSME26060160909</t>
  </si>
  <si>
    <t>NSME26060160955</t>
  </si>
  <si>
    <t>NSME26060160939</t>
  </si>
  <si>
    <t>NSME26060160970</t>
  </si>
  <si>
    <t>NSME26060160908</t>
  </si>
  <si>
    <t>NSME26060160956</t>
  </si>
  <si>
    <t>NSME26060160912</t>
  </si>
  <si>
    <t>NSME26060160854</t>
  </si>
  <si>
    <t>NSME26060160858</t>
  </si>
  <si>
    <t>NSME26060159558</t>
  </si>
  <si>
    <t>NSME26060159535</t>
  </si>
  <si>
    <t>NSME26060159551</t>
  </si>
  <si>
    <t>NSME26060159523</t>
  </si>
  <si>
    <t>Gaurav Thakre</t>
  </si>
  <si>
    <t>7499160452/8080528544</t>
  </si>
  <si>
    <t>Burning spot</t>
  </si>
  <si>
    <t>Back sheet Burn</t>
  </si>
  <si>
    <t>Cell/Transparent Backsheet burn</t>
  </si>
  <si>
    <t>NSMP24050453611</t>
  </si>
  <si>
    <t>Dushyant</t>
  </si>
  <si>
    <t>Poor Production</t>
  </si>
  <si>
    <t>Ribbon Burn &amp; Cold Soldering</t>
  </si>
  <si>
    <t>Burn Spot</t>
  </si>
  <si>
    <t xml:space="preserve">Tiny burn spot near MJB at the solder Joint point </t>
  </si>
  <si>
    <t>Refund</t>
  </si>
  <si>
    <t>NSMP2305138284</t>
  </si>
  <si>
    <t>NSMP2305137209</t>
  </si>
  <si>
    <t>NSMP2305138238</t>
  </si>
  <si>
    <t>NSMP2305138281</t>
  </si>
  <si>
    <t>NSMP2305138628</t>
  </si>
  <si>
    <t>NSMP2305160351</t>
  </si>
  <si>
    <t>NSMP2305160293</t>
  </si>
  <si>
    <t>NSMP2305138876</t>
  </si>
  <si>
    <t>NSMP2305141283</t>
  </si>
  <si>
    <t>NSMP2305148510</t>
  </si>
  <si>
    <t>NSMP2305155987</t>
  </si>
  <si>
    <t>NSMP2305144112</t>
  </si>
  <si>
    <t>NSMP2305139561</t>
  </si>
  <si>
    <t>NSMP2305139567</t>
  </si>
  <si>
    <t>NSMP2306319217</t>
  </si>
  <si>
    <t>NSMP2306254559</t>
  </si>
  <si>
    <t>NSMP2306319461</t>
  </si>
  <si>
    <t>NSMP2306254494</t>
  </si>
  <si>
    <t>NSMP2305139649</t>
  </si>
  <si>
    <t>NSMP2306319498</t>
  </si>
  <si>
    <t>NSMP2305148780</t>
  </si>
  <si>
    <t>NSMP2305140130</t>
  </si>
  <si>
    <t>NSMP2305186181</t>
  </si>
  <si>
    <t>NSMP2305186564</t>
  </si>
  <si>
    <t>NSMP2305186484</t>
  </si>
  <si>
    <t>NSMP2305139744</t>
  </si>
  <si>
    <t>NSMP2305188398</t>
  </si>
  <si>
    <t>NSMP2305145129</t>
  </si>
  <si>
    <t>Line mismatch on the solar cell of the module</t>
  </si>
  <si>
    <t>NSMG26060620156</t>
  </si>
  <si>
    <t>NSMP2305160194</t>
  </si>
  <si>
    <t>NSMP2305159232</t>
  </si>
  <si>
    <t>NSMP2306253269</t>
  </si>
  <si>
    <t>NSMP2305156813</t>
  </si>
  <si>
    <t>NSMP2305149713</t>
  </si>
  <si>
    <t>NSMP2305141376</t>
  </si>
  <si>
    <t>NSMP2305142202</t>
  </si>
  <si>
    <t>NSMP2306301176</t>
  </si>
  <si>
    <t>NSMP2305157118</t>
  </si>
  <si>
    <t>NSMP2305185687</t>
  </si>
  <si>
    <t>NSMP2306321751</t>
  </si>
  <si>
    <t>NSMP2305186712</t>
  </si>
  <si>
    <t>NSMP2306241308</t>
  </si>
  <si>
    <t>NSMP2305186722</t>
  </si>
  <si>
    <t>NSMP2305141395</t>
  </si>
  <si>
    <t>NSMP2305149101</t>
  </si>
  <si>
    <t>NSMP2305186610</t>
  </si>
  <si>
    <t>NSMP2305141456</t>
  </si>
  <si>
    <t>NSMP2305145128</t>
  </si>
  <si>
    <t>NSMP2306253421</t>
  </si>
  <si>
    <t>NSMP2305141164</t>
  </si>
  <si>
    <t>NSMP2305141065</t>
  </si>
  <si>
    <t>NSMP2305138134</t>
  </si>
  <si>
    <t>NSMP2305141191</t>
  </si>
  <si>
    <t>NSMP2305160336</t>
  </si>
  <si>
    <t>NSMP2305161454</t>
  </si>
  <si>
    <t>NSMP2305160647</t>
  </si>
  <si>
    <t>NSMP2305184766</t>
  </si>
  <si>
    <t>NSMP2305160191</t>
  </si>
  <si>
    <t>Akshay Ravi </t>
  </si>
  <si>
    <t>Low Generation</t>
  </si>
  <si>
    <t>NSMP2309650415</t>
  </si>
  <si>
    <t>NSMP2304003469</t>
  </si>
  <si>
    <t>NSMP2304003438</t>
  </si>
  <si>
    <t>NSMP2303478433</t>
  </si>
  <si>
    <t>NSMP2305161258</t>
  </si>
  <si>
    <t>NSMP2305160771</t>
  </si>
  <si>
    <t>NSMP2305185659</t>
  </si>
  <si>
    <t>NSMP2306253037</t>
  </si>
  <si>
    <t>NSMP2305145122</t>
  </si>
  <si>
    <t>NSMP2305159231</t>
  </si>
  <si>
    <t>NSMP2306253281</t>
  </si>
  <si>
    <t>NSMP2305139620</t>
  </si>
  <si>
    <t>NSMP2305140478</t>
  </si>
  <si>
    <t>NSMP2305186513</t>
  </si>
  <si>
    <t>NSMP2305160131</t>
  </si>
  <si>
    <t>NSMP2305161269</t>
  </si>
  <si>
    <t>NSMP2305160913</t>
  </si>
  <si>
    <t>NSMP2305160851</t>
  </si>
  <si>
    <t>NSMP2305160798</t>
  </si>
  <si>
    <t>NSMP2305160943</t>
  </si>
  <si>
    <t>NSMP2305160933</t>
  </si>
  <si>
    <t>NSMP2305148937</t>
  </si>
  <si>
    <t>NSMP2305138150</t>
  </si>
  <si>
    <t>NSMP2305138145</t>
  </si>
  <si>
    <t>NSMP2305138222</t>
  </si>
  <si>
    <t>NSMP2305148611</t>
  </si>
  <si>
    <t>NSMP2305159806</t>
  </si>
  <si>
    <t>NSMP2305148922</t>
  </si>
  <si>
    <t>NSMP2305159830</t>
  </si>
  <si>
    <t>NSMP2305159787</t>
  </si>
  <si>
    <t>NSMP2306224781</t>
  </si>
  <si>
    <t>NSMP2305187573</t>
  </si>
  <si>
    <t xml:space="preserve">PNS </t>
  </si>
  <si>
    <t>NSMP2305156693</t>
  </si>
  <si>
    <t>NSMP2305156727</t>
  </si>
  <si>
    <t>NSMP2305184500</t>
  </si>
  <si>
    <t>NSMP2306214953</t>
  </si>
  <si>
    <t>NSMP2307417495</t>
  </si>
  <si>
    <t>NSMP2305139514</t>
  </si>
  <si>
    <t>NSMP2305139589</t>
  </si>
  <si>
    <t>NSMP2305139629</t>
  </si>
  <si>
    <t>NSMP2305139628</t>
  </si>
  <si>
    <t>NSMP2305187164</t>
  </si>
  <si>
    <t>NSMP2306241384</t>
  </si>
  <si>
    <t>NSMP2305139450</t>
  </si>
  <si>
    <t>NSMP2305139504</t>
  </si>
  <si>
    <t>NSMP2306326376</t>
  </si>
  <si>
    <t>NSMP2305139472</t>
  </si>
  <si>
    <t>NSMP2305139467</t>
  </si>
  <si>
    <t>NSMP2305143207</t>
  </si>
  <si>
    <t>NSMP2305142238</t>
  </si>
  <si>
    <t>NSMP2305142223</t>
  </si>
  <si>
    <t>NSMP2305184491</t>
  </si>
  <si>
    <t>NSMP2305137277</t>
  </si>
  <si>
    <t>NSMP2305137232</t>
  </si>
  <si>
    <t>NSMP2305137264</t>
  </si>
  <si>
    <t>NSMP2305137265</t>
  </si>
  <si>
    <t>NSMP2305138195</t>
  </si>
  <si>
    <t>NSMP2305138177</t>
  </si>
  <si>
    <t>NSMP2305143998</t>
  </si>
  <si>
    <t>NSMP2305144183</t>
  </si>
  <si>
    <t>NSMP2305142214</t>
  </si>
  <si>
    <t>NSMP2305138332</t>
  </si>
  <si>
    <t>NSMP2305137136</t>
  </si>
  <si>
    <t>NSMP2305137195</t>
  </si>
  <si>
    <t>NSMP2305143135</t>
  </si>
  <si>
    <t>NSMP2305143213</t>
  </si>
  <si>
    <t>NSMP2305143218</t>
  </si>
  <si>
    <t>NSMP2305146115</t>
  </si>
  <si>
    <t>NSMP2305187660</t>
  </si>
  <si>
    <t>NSMP2305187711</t>
  </si>
  <si>
    <t>NSMP2305140514</t>
  </si>
  <si>
    <t>NSMP2305140482</t>
  </si>
  <si>
    <t>NSMP2305142441</t>
  </si>
  <si>
    <t>NSMP2305142588</t>
  </si>
  <si>
    <t>NSMP2306288192</t>
  </si>
  <si>
    <t>NSMP2306288102</t>
  </si>
  <si>
    <t>NSMP2306287845</t>
  </si>
  <si>
    <t>NSMP2305139426</t>
  </si>
  <si>
    <t>NSMP2305144947</t>
  </si>
  <si>
    <t>NSMP2305142305</t>
  </si>
  <si>
    <t>NSMP2305143426</t>
  </si>
  <si>
    <t>NSMP2305143934</t>
  </si>
  <si>
    <t>NSMP2305141236</t>
  </si>
  <si>
    <t>NSMP2305141117</t>
  </si>
  <si>
    <t>NSMP2305141189</t>
  </si>
  <si>
    <t>NSMP2305145908</t>
  </si>
  <si>
    <t>NSMP2305146052</t>
  </si>
  <si>
    <t>Ns</t>
  </si>
  <si>
    <t>NSMP2305140418</t>
  </si>
  <si>
    <t>NSMP2305140420</t>
  </si>
  <si>
    <t>NSMP2305146127</t>
  </si>
  <si>
    <t>NSMP2305144265</t>
  </si>
  <si>
    <t>NSMP2305140473</t>
  </si>
  <si>
    <t>NSMP2305137115</t>
  </si>
  <si>
    <t>NSMP2305137999</t>
  </si>
  <si>
    <t>NSMP2305143495</t>
  </si>
  <si>
    <t>NSMP2305144704</t>
  </si>
  <si>
    <t>NSMP2305138019</t>
  </si>
  <si>
    <t>NSMP2305143811</t>
  </si>
  <si>
    <t>NSMP2305144388</t>
  </si>
  <si>
    <t>NSMP2305144514</t>
  </si>
  <si>
    <t>NSMP2305144508</t>
  </si>
  <si>
    <t>NSMP2305144779</t>
  </si>
  <si>
    <t>NSMP2305144776</t>
  </si>
  <si>
    <t>NSMP2305139180</t>
  </si>
  <si>
    <t>NSMP2305139358</t>
  </si>
  <si>
    <t>NSMP2305137973</t>
  </si>
  <si>
    <t>NSMP2306325487</t>
  </si>
  <si>
    <t>NSMP2305139692</t>
  </si>
  <si>
    <t>NSMP2305142834</t>
  </si>
  <si>
    <t>NSMP2305140800</t>
  </si>
  <si>
    <t>NSMP2305139138</t>
  </si>
  <si>
    <t>NSMP2305146321</t>
  </si>
  <si>
    <t>NSMP2306325538</t>
  </si>
  <si>
    <t>NSMP2305140814</t>
  </si>
  <si>
    <t>NSMP2305140863</t>
  </si>
  <si>
    <t>NSMP2305140807</t>
  </si>
  <si>
    <t>NSMP2305139525</t>
  </si>
  <si>
    <t>NSMP2305143921</t>
  </si>
  <si>
    <t>NSMP2305143905</t>
  </si>
  <si>
    <t>NSMP2305139321</t>
  </si>
  <si>
    <t>NSMP2305140295</t>
  </si>
  <si>
    <t>NSMP2305139527</t>
  </si>
  <si>
    <t>NSMP2305139528</t>
  </si>
  <si>
    <t>NSMP2305143198</t>
  </si>
  <si>
    <t>NSMP2305143197</t>
  </si>
  <si>
    <t>NSMP2305139404</t>
  </si>
  <si>
    <t>NSMP2305140066</t>
  </si>
  <si>
    <t>NSMP2305137982</t>
  </si>
  <si>
    <t>NSMP2303479832</t>
  </si>
  <si>
    <t>NA</t>
  </si>
  <si>
    <t>JB melting</t>
  </si>
  <si>
    <t>NSMP26021301495</t>
  </si>
  <si>
    <t>N JB Melting</t>
  </si>
  <si>
    <t>ABDUL MANNAN</t>
  </si>
  <si>
    <t>NSMG26050444104</t>
  </si>
  <si>
    <t>NSMP2305145384</t>
  </si>
  <si>
    <t>NSMP2305142807</t>
  </si>
  <si>
    <t>NSMP2305187780</t>
  </si>
  <si>
    <t>NSMP2305188182</t>
  </si>
  <si>
    <t>NSMP2305144201</t>
  </si>
  <si>
    <t>NSMP2305187734</t>
  </si>
  <si>
    <t>NSMP2305140942</t>
  </si>
  <si>
    <t>NSMP2305141025</t>
  </si>
  <si>
    <t>NSMP2305140907</t>
  </si>
  <si>
    <t>NSMP2305140061</t>
  </si>
  <si>
    <t>NSMP2305140095</t>
  </si>
  <si>
    <t>NSMP2305140103</t>
  </si>
  <si>
    <t>NSMP2305140251</t>
  </si>
  <si>
    <t>NSMP2305141279</t>
  </si>
  <si>
    <t>NSMP2305144895</t>
  </si>
  <si>
    <t>NSMP2305144894</t>
  </si>
  <si>
    <t>NSMP2305146253</t>
  </si>
  <si>
    <t>NSMP2305146341</t>
  </si>
  <si>
    <t>NSMP2305139530</t>
  </si>
  <si>
    <t>NSMP2305138511</t>
  </si>
  <si>
    <t>NSMP2305139591</t>
  </si>
  <si>
    <t>NSMP2305141268</t>
  </si>
  <si>
    <t>NSMP2305141218</t>
  </si>
  <si>
    <t>NSMP2305137171</t>
  </si>
  <si>
    <t>NSMP2305144311</t>
  </si>
  <si>
    <t>NSMP2305137207</t>
  </si>
  <si>
    <t>NSMP2305141880</t>
  </si>
  <si>
    <t>NSMP2305143528</t>
  </si>
  <si>
    <t>NSMP2305140622</t>
  </si>
  <si>
    <t>NSMP2305146053</t>
  </si>
  <si>
    <t>NSMP2305140615</t>
  </si>
  <si>
    <t>NSMP2308487586</t>
  </si>
  <si>
    <t>NSMP2305143899</t>
  </si>
  <si>
    <t>NSMP2305188117</t>
  </si>
  <si>
    <t>NSMP2305142384</t>
  </si>
  <si>
    <t>NSMP2305187933</t>
  </si>
  <si>
    <t>NSMP2305185816</t>
  </si>
  <si>
    <t>NSMP2305186005</t>
  </si>
  <si>
    <t>NSMP2306320195</t>
  </si>
  <si>
    <t>NSMP2305188448</t>
  </si>
  <si>
    <t>NSMP2306320201</t>
  </si>
  <si>
    <t>NSMP2305142533</t>
  </si>
  <si>
    <t>NSMP2306252897</t>
  </si>
  <si>
    <t>NSMP2305143342</t>
  </si>
  <si>
    <t>NSMP2305143458</t>
  </si>
  <si>
    <t>NSMP2305141181</t>
  </si>
  <si>
    <t>NSMP2305142480</t>
  </si>
  <si>
    <t>NSMP2305142472</t>
  </si>
  <si>
    <t>NSMP2305143431</t>
  </si>
  <si>
    <t>NSMP2305143490</t>
  </si>
  <si>
    <t>NSMP2305139582</t>
  </si>
  <si>
    <t>NSMP2305140570</t>
  </si>
  <si>
    <t>NSMP2305142376</t>
  </si>
  <si>
    <t>NSMP2305139727</t>
  </si>
  <si>
    <t>NSMP2305139710</t>
  </si>
  <si>
    <t>NSMP2305138726</t>
  </si>
  <si>
    <t>NSMP2305142528</t>
  </si>
  <si>
    <t>NSMP2305142540</t>
  </si>
  <si>
    <t>NSMP2305142493</t>
  </si>
  <si>
    <t>NSMP2305142934</t>
  </si>
  <si>
    <t>NSMP2305142495</t>
  </si>
  <si>
    <t>NSMP2305143918</t>
  </si>
  <si>
    <t>NSMP2305143952</t>
  </si>
  <si>
    <t>NSMP2305145233</t>
  </si>
  <si>
    <t>NSMP2305146277</t>
  </si>
  <si>
    <t>NSMP2305142869</t>
  </si>
  <si>
    <t>NSMP2305138671</t>
  </si>
  <si>
    <t>NSMP2305142444</t>
  </si>
  <si>
    <t>NSMP2305141091</t>
  </si>
  <si>
    <t>NSMP2305138000</t>
  </si>
  <si>
    <t>NSMP2305161056</t>
  </si>
  <si>
    <t>NSMP2305140912</t>
  </si>
  <si>
    <t>NSMP2305161041</t>
  </si>
  <si>
    <t>NSMP2305140880</t>
  </si>
  <si>
    <t>NSMP2305140897</t>
  </si>
  <si>
    <t>NSMP2305140892</t>
  </si>
  <si>
    <t>Jaydeep Landage</t>
  </si>
  <si>
    <t>NSMP26060270571</t>
  </si>
  <si>
    <t>Hot spot</t>
  </si>
  <si>
    <t>Boat marks</t>
  </si>
  <si>
    <t>NSMG26070127871</t>
  </si>
  <si>
    <t>Boat marks observed on the Module</t>
  </si>
  <si>
    <t>Manufacturing Issues</t>
  </si>
  <si>
    <t>NSMP26060320088</t>
  </si>
  <si>
    <t>NSMP26060320019</t>
  </si>
  <si>
    <t>NSMP26060320066</t>
  </si>
  <si>
    <t>NSMP26060319992</t>
  </si>
  <si>
    <t>NSMP26060320129</t>
  </si>
  <si>
    <t>NSMP26060320118</t>
  </si>
  <si>
    <t>NSMP2306223908</t>
  </si>
  <si>
    <t>NSMP2305140451</t>
  </si>
  <si>
    <t>NSMP2305144906</t>
  </si>
  <si>
    <t>NSMP2305140563</t>
  </si>
  <si>
    <t>NSMP2305188129</t>
  </si>
  <si>
    <t>NSMP2305187114</t>
  </si>
  <si>
    <t>NSMP2305188114</t>
  </si>
  <si>
    <t>NSMP2305187234</t>
  </si>
  <si>
    <t>NSMP2305146248</t>
  </si>
  <si>
    <t>NSMP2305187599</t>
  </si>
  <si>
    <t>NSMP2305140321</t>
  </si>
  <si>
    <t>NSMP2305140315</t>
  </si>
  <si>
    <t>NSMP2305142341</t>
  </si>
  <si>
    <t>NSMP2305186164</t>
  </si>
  <si>
    <t>NSMP2305142536</t>
  </si>
  <si>
    <t>NSMP2305142925</t>
  </si>
  <si>
    <t>NSMP2305142770</t>
  </si>
  <si>
    <t>NSMP2305142923</t>
  </si>
  <si>
    <t>NSMP2305142891</t>
  </si>
  <si>
    <t>NSMP2305142845</t>
  </si>
  <si>
    <t>NSMP2305142833</t>
  </si>
  <si>
    <t>NSMP2305187655</t>
  </si>
  <si>
    <t>NSMP2305186650</t>
  </si>
  <si>
    <t>NSMP2305140900</t>
  </si>
  <si>
    <t>NSMP2305187448</t>
  </si>
  <si>
    <t>NSMP2305139673</t>
  </si>
  <si>
    <t>NSMP2305137236</t>
  </si>
  <si>
    <t>NSMP2305139090</t>
  </si>
  <si>
    <t>NSMP2305141331</t>
  </si>
  <si>
    <t>NSMP2305141392</t>
  </si>
  <si>
    <t>NSMP2305187656</t>
  </si>
  <si>
    <t>NSMP2305138820</t>
  </si>
  <si>
    <t>MC4 connector issue</t>
  </si>
  <si>
    <t>Positive JB Connector Metal Contact Pin Problem</t>
  </si>
  <si>
    <t>NSMG26060676243</t>
  </si>
  <si>
    <t>P JB Connector Issue</t>
  </si>
  <si>
    <t>Complaints closed by Panasonic team</t>
  </si>
  <si>
    <t>NSMP2207056431</t>
  </si>
  <si>
    <t>NSMP2207056393</t>
  </si>
  <si>
    <t>NSMP2305145683</t>
  </si>
  <si>
    <t>NSMP2306253492</t>
  </si>
  <si>
    <t>NSMP2306253297</t>
  </si>
  <si>
    <t>NSMP2305187361</t>
  </si>
  <si>
    <t>NSMP2305187351</t>
  </si>
  <si>
    <t>NSMP2305186757</t>
  </si>
  <si>
    <t>NSMP2305186898</t>
  </si>
  <si>
    <t>NSMP2306212909</t>
  </si>
  <si>
    <t>NSMP2306242300</t>
  </si>
  <si>
    <t>NSMP2306224543</t>
  </si>
  <si>
    <t>NSMP2306224522</t>
  </si>
  <si>
    <t>NSMP24091535376</t>
  </si>
  <si>
    <t>NSMP2306323081</t>
  </si>
  <si>
    <t>NSMP24091533044</t>
  </si>
  <si>
    <t>NSMP24091535073</t>
  </si>
  <si>
    <t>NSMP24091540461</t>
  </si>
  <si>
    <t>NSMP2307327627</t>
  </si>
  <si>
    <t>NSMP2307327617</t>
  </si>
  <si>
    <t>NSMP2306324528</t>
  </si>
  <si>
    <t>NSMP2306321471</t>
  </si>
  <si>
    <t>NSMP2306306196</t>
  </si>
  <si>
    <t>NSMP2306253125</t>
  </si>
  <si>
    <t>NSMP2306306212</t>
  </si>
  <si>
    <t>NSMP2306306197</t>
  </si>
  <si>
    <t>NSMP2306293576</t>
  </si>
  <si>
    <t>NSMP2306293593</t>
  </si>
  <si>
    <t>NSMP2306293223</t>
  </si>
  <si>
    <t>NSMP2306325819</t>
  </si>
  <si>
    <t>NSMP2306325889</t>
  </si>
  <si>
    <t>NSMP2306325934</t>
  </si>
  <si>
    <t>NSMP2306325876</t>
  </si>
  <si>
    <t>NSMP2306224766</t>
  </si>
  <si>
    <t>NSMP2306255342</t>
  </si>
  <si>
    <t>NSMP2306287790</t>
  </si>
  <si>
    <t>NSMP2306243878</t>
  </si>
  <si>
    <t>NSMP2306290062</t>
  </si>
  <si>
    <t>NSMP2306294095</t>
  </si>
  <si>
    <t>NSMP2306226661</t>
  </si>
  <si>
    <t>NSMP2306304748</t>
  </si>
  <si>
    <t>NSMP2306326366</t>
  </si>
  <si>
    <t>NSMP2306252797</t>
  </si>
  <si>
    <t>NSMP2306293931</t>
  </si>
  <si>
    <t>NSMP2306287014</t>
  </si>
  <si>
    <t>NSMP2306287495</t>
  </si>
  <si>
    <t>NSMP2306287145</t>
  </si>
  <si>
    <t>NSMP2306292348</t>
  </si>
  <si>
    <t>NSMP2306275845</t>
  </si>
  <si>
    <t>NSMP2306288425</t>
  </si>
  <si>
    <t>NSMP2306292039</t>
  </si>
  <si>
    <t>NSMP2306241486</t>
  </si>
  <si>
    <t>NSMP2307457984</t>
  </si>
  <si>
    <t>NSMP24091539289</t>
  </si>
  <si>
    <t>NSMP2307336606</t>
  </si>
  <si>
    <t>NSMP2306313175</t>
  </si>
  <si>
    <t>NSMP2306303835</t>
  </si>
  <si>
    <t>NSMP2308469464</t>
  </si>
  <si>
    <t>NSMP2306313189</t>
  </si>
  <si>
    <t>NSMP2306313181</t>
  </si>
  <si>
    <t>NSMP2306326227</t>
  </si>
  <si>
    <t>NSMP2307339149</t>
  </si>
  <si>
    <t>NSMP2306303435</t>
  </si>
  <si>
    <t>NSMP2306325300</t>
  </si>
  <si>
    <t>NSMP2307328098</t>
  </si>
  <si>
    <t>NSMP2307328109</t>
  </si>
  <si>
    <t>NSMP2306217942</t>
  </si>
  <si>
    <t>Hotspot Issue</t>
  </si>
  <si>
    <t>NSMG25090490352</t>
  </si>
  <si>
    <t>True Sun Trading Company</t>
  </si>
  <si>
    <t>Uttar Pradesh</t>
  </si>
  <si>
    <t>Aesthetic</t>
  </si>
  <si>
    <t>Kanpur</t>
  </si>
  <si>
    <t>Virtually Inspected</t>
  </si>
  <si>
    <t>Closed by client</t>
  </si>
  <si>
    <t>Credit Note</t>
  </si>
  <si>
    <t>Monthly MIS Report - Solar PV Warranty Claims</t>
  </si>
  <si>
    <t>KEY PERFORMANCE INDICATORS</t>
  </si>
  <si>
    <t>Total Complaints</t>
  </si>
  <si>
    <t>WIP / Open</t>
  </si>
  <si>
    <t>Repairable Defects</t>
  </si>
  <si>
    <t>Closure Rate</t>
  </si>
  <si>
    <t>Avg Resolution Day</t>
  </si>
  <si>
    <t>1. COMPLAINT STATUS SUMMARY</t>
  </si>
  <si>
    <t>Metric</t>
  </si>
  <si>
    <t>Value</t>
  </si>
  <si>
    <t>Closed Modules</t>
  </si>
  <si>
    <t>WIP Rate</t>
  </si>
  <si>
    <t>WIP Modules</t>
  </si>
  <si>
    <t>State covered</t>
  </si>
  <si>
    <t xml:space="preserve">By Customer </t>
  </si>
  <si>
    <t>By State</t>
  </si>
  <si>
    <t xml:space="preserve"> COMPLAINTS BY SITE</t>
  </si>
  <si>
    <t xml:space="preserve"> COMPLAINTS BY STATE</t>
  </si>
  <si>
    <t>Modules</t>
  </si>
  <si>
    <t>% Share</t>
  </si>
  <si>
    <t>MP</t>
  </si>
  <si>
    <t>TOTAL</t>
  </si>
  <si>
    <t xml:space="preserve"> RESOLUTION TYPE</t>
  </si>
  <si>
    <t>Resolution</t>
  </si>
  <si>
    <t xml:space="preserve"> DAILY COMPLAINTS TREND - JAN 2026</t>
  </si>
  <si>
    <t>Modules Visited</t>
  </si>
  <si>
    <t>MANUFACTURING PLANT-WISE</t>
  </si>
  <si>
    <t>Plant</t>
  </si>
  <si>
    <t>TAT - COMPLAINT RAISED vs CLOSED</t>
  </si>
  <si>
    <t>TAT Bucket (Days)</t>
  </si>
  <si>
    <t>0 - 3 days</t>
  </si>
  <si>
    <t>4 - 7 days</t>
  </si>
  <si>
    <t>8 - 15 days</t>
  </si>
  <si>
    <t>16 - 30 days</t>
  </si>
  <si>
    <t>&gt; 30 days</t>
  </si>
  <si>
    <t>Avg TAT (days)</t>
  </si>
  <si>
    <t>Defect Type (Our Evaluation)</t>
  </si>
  <si>
    <t>Grand Total</t>
  </si>
  <si>
    <t>Tab lead Burn</t>
  </si>
  <si>
    <t>Broken Module</t>
  </si>
  <si>
    <t xml:space="preserve"> </t>
  </si>
  <si>
    <t>Total Complaints (July)</t>
  </si>
  <si>
    <t>PE13072601</t>
  </si>
  <si>
    <t>Amperes generation low</t>
  </si>
  <si>
    <t>NSM230526035</t>
  </si>
  <si>
    <t>NSM230526353</t>
  </si>
  <si>
    <t>NSM230526040</t>
  </si>
  <si>
    <t>NSM230526758</t>
  </si>
  <si>
    <t>NSM230526396</t>
  </si>
  <si>
    <t>NSM230526039</t>
  </si>
  <si>
    <t>P1-PEL</t>
  </si>
  <si>
    <t>Ampere generation low</t>
  </si>
  <si>
    <t>Under Investigation</t>
  </si>
  <si>
    <t>MODULE TYPE DEFECT ANALYSIS - JULY 2026</t>
  </si>
  <si>
    <t>CHART DATA (linked)</t>
  </si>
  <si>
    <t>FIELD SERVICE DASHBOARD</t>
  </si>
  <si>
    <t>Blupine</t>
  </si>
  <si>
    <t>P1</t>
  </si>
  <si>
    <t>Avg Resolution</t>
  </si>
  <si>
    <t>P2</t>
  </si>
  <si>
    <t>Continuum</t>
  </si>
  <si>
    <t>P4</t>
  </si>
  <si>
    <t>NTPC Limited</t>
  </si>
  <si>
    <t>Asian Fab Tec Ltd</t>
  </si>
  <si>
    <t>Madhav Infra Projects Ltd.</t>
  </si>
  <si>
    <t>WBSEDCL</t>
  </si>
  <si>
    <t>Defect Type</t>
  </si>
  <si>
    <t>No Issue</t>
  </si>
  <si>
    <t>J&amp;K</t>
  </si>
  <si>
    <t>West Bengal</t>
  </si>
  <si>
    <t>Bihar</t>
  </si>
  <si>
    <t>Count</t>
  </si>
  <si>
    <t>Complaints by State</t>
  </si>
  <si>
    <t>Defect Type Mix</t>
  </si>
  <si>
    <t>Others</t>
  </si>
  <si>
    <t>TAT Range</t>
  </si>
  <si>
    <t>Week</t>
  </si>
  <si>
    <t>Resolution Time (TAT) Distribution</t>
  </si>
  <si>
    <t>Weekly Complaint Volume</t>
  </si>
  <si>
    <t>Daily Complaints Trend  - July 2026</t>
  </si>
  <si>
    <t xml:space="preserve">Complaints by Site </t>
  </si>
  <si>
    <t>July 2026  •  Solar Module Complaints &amp; Defect Analysis</t>
  </si>
  <si>
    <t>MODULE TYPE DEFECT ANALYSIS - July 2026</t>
  </si>
  <si>
    <t>Visited</t>
  </si>
  <si>
    <t>Week 1 (1-7 July)</t>
  </si>
  <si>
    <t>Week 3 (15-21 July)</t>
  </si>
  <si>
    <t>Week 2 (8-14 July)</t>
  </si>
  <si>
    <t>Week 4 (22-31 July)</t>
  </si>
  <si>
    <t>Nabhas Constructions</t>
  </si>
  <si>
    <t>P1 - 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</si>
</sst>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&quot;₹&quot;\ #,##0.00"/>
    <numFmt numFmtId="167" formatCode="0.0&quot; days&quot;"/>
  </numFmts>
  <fonts count="65">
    <font>
      <sz val="11"/>
      <color theme="1"/>
      <name val="Aptos Narrow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8"/>
      <color theme="10"/>
      <name val="Calibri"/>
      <family val="2"/>
    </font>
    <font>
      <sz val="8"/>
      <color theme="1"/>
      <name val="Calibri"/>
      <family val="2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b/>
      <sz val="8"/>
      <color theme="1"/>
      <name val="Calibri"/>
      <family val="2"/>
    </font>
    <font>
      <sz val="8"/>
      <color rgb="FF242424"/>
      <name val="Calibri"/>
      <family val="2"/>
    </font>
    <font>
      <sz val="8"/>
      <color rgb="FF000000"/>
      <name val="Aptos Narrow"/>
      <family val="2"/>
      <scheme val="minor"/>
    </font>
    <font>
      <sz val="8"/>
      <color rgb="FF212121"/>
      <name val="Calibri"/>
      <family val="2"/>
    </font>
    <font>
      <sz val="8"/>
      <color rgb="FF242424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1F4E79"/>
      <name val="Aptos Narrow"/>
      <family val="2"/>
      <scheme val="minor"/>
    </font>
    <font>
      <b/>
      <sz val="8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9"/>
      <color rgb="FF4472C4"/>
      <name val="Aptos Narrow"/>
      <family val="2"/>
      <scheme val="minor"/>
    </font>
    <font>
      <b/>
      <sz val="9"/>
      <color rgb="FF548235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9"/>
      <color rgb="FF7030A0"/>
      <name val="Aptos Narrow"/>
      <family val="2"/>
      <scheme val="minor"/>
    </font>
    <font>
      <b/>
      <sz val="9"/>
      <color rgb="FF1F4E79"/>
      <name val="Aptos Narrow"/>
      <family val="2"/>
      <scheme val="minor"/>
    </font>
    <font>
      <b/>
      <sz val="9"/>
      <color rgb="FFC45911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  <font>
      <b/>
      <sz val="20"/>
      <color rgb="FF1F4E79"/>
      <name val="Aptos Narrow"/>
      <family val="2"/>
      <scheme val="minor"/>
    </font>
    <font>
      <b/>
      <sz val="20"/>
      <color rgb="FF548235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20"/>
      <color rgb="FF7030A0"/>
      <name val="Aptos Narrow"/>
      <family val="2"/>
      <scheme val="minor"/>
    </font>
    <font>
      <b/>
      <sz val="20"/>
      <color rgb="FFC45911"/>
      <name val="Aptos Narrow"/>
      <family val="2"/>
      <scheme val="minor"/>
    </font>
    <font>
      <b/>
      <sz val="16"/>
      <color theme="7" tint="-0.499984740745262"/>
      <name val="Aptos Narrow"/>
      <family val="2"/>
      <scheme val="minor"/>
    </font>
    <font>
      <b/>
      <sz val="13"/>
      <color rgb="FF1F4E79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b/>
      <sz val="11"/>
      <color rgb="FF375623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375623"/>
      <name val="Aptos Narrow"/>
      <family val="2"/>
      <scheme val="minor"/>
    </font>
    <font>
      <sz val="11"/>
      <color rgb="FFC55A11"/>
      <name val="Aptos Narrow"/>
      <family val="2"/>
      <scheme val="minor"/>
    </font>
    <font>
      <b/>
      <i/>
      <sz val="11"/>
      <color theme="3"/>
      <name val="Aptos Narrow"/>
      <family val="2"/>
      <scheme val="minor"/>
    </font>
    <font>
      <sz val="10"/>
      <name val="Calibri"/>
      <family val="2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BDD7EE"/>
      <name val="Aptos Narrow"/>
      <family val="2"/>
      <scheme val="minor"/>
    </font>
    <font>
      <b/>
      <sz val="10"/>
      <color rgb="FF667085"/>
      <name val="Aptos Narrow"/>
      <family val="2"/>
      <scheme val="minor"/>
    </font>
    <font>
      <b/>
      <sz val="26"/>
      <color rgb="FF1F3864"/>
      <name val="Aptos Narrow"/>
      <family val="2"/>
      <scheme val="minor"/>
    </font>
    <font>
      <b/>
      <sz val="26"/>
      <color rgb="FF2E7D32"/>
      <name val="Aptos Narrow"/>
      <family val="2"/>
      <scheme val="minor"/>
    </font>
    <font>
      <b/>
      <sz val="26"/>
      <color rgb="FFC62828"/>
      <name val="Aptos Narrow"/>
      <family val="2"/>
      <scheme val="minor"/>
    </font>
    <font>
      <b/>
      <sz val="26"/>
      <color theme="6"/>
      <name val="Aptos Narrow"/>
      <family val="2"/>
      <scheme val="minor"/>
    </font>
    <font>
      <b/>
      <sz val="26"/>
      <color theme="5"/>
      <name val="Aptos Narrow"/>
      <family val="2"/>
      <scheme val="minor"/>
    </font>
    <font>
      <b/>
      <sz val="12"/>
      <color rgb="FF1F3864"/>
      <name val="Aptos Narrow"/>
      <family val="2"/>
      <scheme val="minor"/>
    </font>
    <font>
      <sz val="1"/>
      <color theme="0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rgb="FFDDEBF7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E0E0E0"/>
      </left>
      <right/>
      <top/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 style="thin">
        <color rgb="FFE0E0E0"/>
      </right>
      <top/>
      <bottom style="thin">
        <color rgb="FFE0E0E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1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6" fillId="0" borderId="1" xfId="1" applyFont="1" applyBorder="1" applyAlignment="1">
      <alignment horizontal="center"/>
    </xf>
    <xf numFmtId="15" fontId="3" fillId="3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" fontId="7" fillId="4" borderId="1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0" fillId="0" borderId="1" xfId="0" applyBorder="1"/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15" fontId="7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7" fillId="0" borderId="1" xfId="0" applyFont="1" applyBorder="1"/>
    <xf numFmtId="0" fontId="6" fillId="0" borderId="0" xfId="1" applyFont="1" applyAlignment="1">
      <alignment horizontal="center"/>
    </xf>
    <xf numFmtId="0" fontId="6" fillId="0" borderId="3" xfId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4" borderId="0" xfId="0" applyFill="1"/>
    <xf numFmtId="0" fontId="12" fillId="4" borderId="1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3" fillId="4" borderId="5" xfId="0" applyFont="1" applyFill="1" applyBorder="1" applyAlignment="1">
      <alignment horizontal="center"/>
    </xf>
    <xf numFmtId="0" fontId="12" fillId="7" borderId="5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5" fillId="4" borderId="5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3" fillId="0" borderId="1" xfId="0" applyFont="1" applyBorder="1"/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0" fillId="10" borderId="0" xfId="0" applyFill="1"/>
    <xf numFmtId="0" fontId="8" fillId="0" borderId="1" xfId="0" applyFont="1" applyBorder="1"/>
    <xf numFmtId="0" fontId="19" fillId="11" borderId="0" xfId="0" applyFont="1" applyFill="1" applyAlignment="1">
      <alignment horizontal="center" vertical="center"/>
    </xf>
    <xf numFmtId="0" fontId="19" fillId="11" borderId="0" xfId="0" applyFont="1" applyFill="1" applyAlignment="1">
      <alignment vertical="center"/>
    </xf>
    <xf numFmtId="0" fontId="20" fillId="11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21" fillId="4" borderId="0" xfId="0" applyFont="1" applyFill="1"/>
    <xf numFmtId="0" fontId="22" fillId="13" borderId="9" xfId="0" applyFont="1" applyFill="1" applyBorder="1" applyAlignment="1">
      <alignment horizontal="center"/>
    </xf>
    <xf numFmtId="0" fontId="23" fillId="14" borderId="10" xfId="0" applyFont="1" applyFill="1" applyBorder="1" applyAlignment="1">
      <alignment horizontal="center"/>
    </xf>
    <xf numFmtId="0" fontId="24" fillId="15" borderId="10" xfId="0" applyFont="1" applyFill="1" applyBorder="1" applyAlignment="1">
      <alignment horizontal="center"/>
    </xf>
    <xf numFmtId="0" fontId="25" fillId="16" borderId="10" xfId="0" applyFont="1" applyFill="1" applyBorder="1" applyAlignment="1">
      <alignment horizontal="center"/>
    </xf>
    <xf numFmtId="0" fontId="26" fillId="17" borderId="10" xfId="0" applyFont="1" applyFill="1" applyBorder="1" applyAlignment="1">
      <alignment horizontal="center"/>
    </xf>
    <xf numFmtId="0" fontId="27" fillId="18" borderId="11" xfId="0" applyFont="1" applyFill="1" applyBorder="1" applyAlignment="1">
      <alignment horizontal="center"/>
    </xf>
    <xf numFmtId="0" fontId="28" fillId="4" borderId="0" xfId="0" applyFont="1" applyFill="1" applyAlignment="1">
      <alignment horizontal="center"/>
    </xf>
    <xf numFmtId="0" fontId="27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 vertical="center"/>
    </xf>
    <xf numFmtId="3" fontId="29" fillId="13" borderId="12" xfId="0" applyNumberFormat="1" applyFont="1" applyFill="1" applyBorder="1" applyAlignment="1">
      <alignment horizontal="center"/>
    </xf>
    <xf numFmtId="3" fontId="30" fillId="14" borderId="13" xfId="0" applyNumberFormat="1" applyFont="1" applyFill="1" applyBorder="1" applyAlignment="1">
      <alignment horizontal="center"/>
    </xf>
    <xf numFmtId="3" fontId="31" fillId="15" borderId="13" xfId="0" applyNumberFormat="1" applyFont="1" applyFill="1" applyBorder="1" applyAlignment="1">
      <alignment horizontal="center"/>
    </xf>
    <xf numFmtId="3" fontId="32" fillId="16" borderId="13" xfId="0" applyNumberFormat="1" applyFont="1" applyFill="1" applyBorder="1" applyAlignment="1">
      <alignment horizontal="center"/>
    </xf>
    <xf numFmtId="164" fontId="29" fillId="17" borderId="13" xfId="0" applyNumberFormat="1" applyFont="1" applyFill="1" applyBorder="1" applyAlignment="1">
      <alignment horizontal="center"/>
    </xf>
    <xf numFmtId="165" fontId="33" fillId="18" borderId="12" xfId="0" applyNumberFormat="1" applyFont="1" applyFill="1" applyBorder="1" applyAlignment="1">
      <alignment horizontal="center"/>
    </xf>
    <xf numFmtId="166" fontId="34" fillId="4" borderId="0" xfId="0" applyNumberFormat="1" applyFont="1" applyFill="1"/>
    <xf numFmtId="165" fontId="33" fillId="4" borderId="0" xfId="0" applyNumberFormat="1" applyFont="1" applyFill="1" applyAlignment="1">
      <alignment horizontal="center"/>
    </xf>
    <xf numFmtId="0" fontId="18" fillId="20" borderId="14" xfId="0" applyFont="1" applyFill="1" applyBorder="1" applyAlignment="1">
      <alignment horizontal="center"/>
    </xf>
    <xf numFmtId="0" fontId="18" fillId="20" borderId="15" xfId="0" applyFont="1" applyFill="1" applyBorder="1" applyAlignment="1">
      <alignment horizontal="center"/>
    </xf>
    <xf numFmtId="0" fontId="18" fillId="20" borderId="16" xfId="0" applyFont="1" applyFill="1" applyBorder="1" applyAlignment="1">
      <alignment horizontal="center"/>
    </xf>
    <xf numFmtId="3" fontId="36" fillId="0" borderId="0" xfId="0" applyNumberFormat="1" applyFont="1" applyAlignment="1">
      <alignment horizontal="center"/>
    </xf>
    <xf numFmtId="0" fontId="18" fillId="0" borderId="0" xfId="0" applyFont="1"/>
    <xf numFmtId="164" fontId="37" fillId="0" borderId="17" xfId="0" applyNumberFormat="1" applyFont="1" applyBorder="1" applyAlignment="1">
      <alignment horizontal="center"/>
    </xf>
    <xf numFmtId="0" fontId="38" fillId="0" borderId="10" xfId="0" applyFont="1" applyBorder="1"/>
    <xf numFmtId="3" fontId="39" fillId="0" borderId="0" xfId="0" applyNumberFormat="1" applyFont="1" applyAlignment="1">
      <alignment horizontal="center"/>
    </xf>
    <xf numFmtId="164" fontId="40" fillId="0" borderId="17" xfId="0" applyNumberFormat="1" applyFont="1" applyBorder="1" applyAlignment="1">
      <alignment horizontal="center"/>
    </xf>
    <xf numFmtId="0" fontId="17" fillId="0" borderId="10" xfId="0" applyFont="1" applyBorder="1"/>
    <xf numFmtId="3" fontId="0" fillId="0" borderId="17" xfId="0" applyNumberFormat="1" applyBorder="1" applyAlignment="1">
      <alignment horizontal="center"/>
    </xf>
    <xf numFmtId="10" fontId="0" fillId="0" borderId="0" xfId="0" applyNumberFormat="1"/>
    <xf numFmtId="0" fontId="0" fillId="0" borderId="13" xfId="0" applyBorder="1"/>
    <xf numFmtId="3" fontId="0" fillId="0" borderId="18" xfId="0" applyNumberFormat="1" applyBorder="1" applyAlignment="1">
      <alignment horizontal="center"/>
    </xf>
    <xf numFmtId="0" fontId="0" fillId="0" borderId="18" xfId="0" applyBorder="1"/>
    <xf numFmtId="3" fontId="0" fillId="0" borderId="19" xfId="0" applyNumberFormat="1" applyBorder="1" applyAlignment="1">
      <alignment horizontal="center"/>
    </xf>
    <xf numFmtId="3" fontId="0" fillId="0" borderId="0" xfId="0" applyNumberFormat="1"/>
    <xf numFmtId="0" fontId="41" fillId="21" borderId="0" xfId="0" applyFont="1" applyFill="1" applyAlignment="1">
      <alignment horizontal="center"/>
    </xf>
    <xf numFmtId="0" fontId="18" fillId="20" borderId="0" xfId="0" applyFont="1" applyFill="1" applyAlignment="1">
      <alignment horizontal="center"/>
    </xf>
    <xf numFmtId="0" fontId="18" fillId="20" borderId="17" xfId="0" applyFont="1" applyFill="1" applyBorder="1" applyAlignment="1">
      <alignment horizontal="center"/>
    </xf>
    <xf numFmtId="0" fontId="18" fillId="20" borderId="10" xfId="0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17" xfId="0" applyNumberFormat="1" applyBorder="1" applyAlignment="1">
      <alignment horizontal="center"/>
    </xf>
    <xf numFmtId="10" fontId="0" fillId="0" borderId="17" xfId="0" applyNumberFormat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43" fillId="23" borderId="13" xfId="0" applyFont="1" applyFill="1" applyBorder="1"/>
    <xf numFmtId="3" fontId="43" fillId="23" borderId="18" xfId="0" applyNumberFormat="1" applyFont="1" applyFill="1" applyBorder="1" applyAlignment="1">
      <alignment horizontal="center"/>
    </xf>
    <xf numFmtId="164" fontId="43" fillId="23" borderId="19" xfId="0" applyNumberFormat="1" applyFont="1" applyFill="1" applyBorder="1" applyAlignment="1">
      <alignment horizontal="center"/>
    </xf>
    <xf numFmtId="16" fontId="0" fillId="0" borderId="1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21" fillId="22" borderId="0" xfId="0" applyFont="1" applyFill="1"/>
    <xf numFmtId="0" fontId="0" fillId="0" borderId="10" xfId="0" applyBorder="1"/>
    <xf numFmtId="0" fontId="16" fillId="0" borderId="10" xfId="0" applyFont="1" applyBorder="1"/>
    <xf numFmtId="165" fontId="36" fillId="0" borderId="0" xfId="0" applyNumberFormat="1" applyFont="1" applyAlignment="1">
      <alignment horizontal="center"/>
    </xf>
    <xf numFmtId="16" fontId="0" fillId="0" borderId="13" xfId="0" applyNumberFormat="1" applyBorder="1" applyAlignment="1">
      <alignment horizontal="center"/>
    </xf>
    <xf numFmtId="0" fontId="43" fillId="22" borderId="14" xfId="0" applyFont="1" applyFill="1" applyBorder="1" applyAlignment="1">
      <alignment horizontal="center"/>
    </xf>
    <xf numFmtId="0" fontId="43" fillId="22" borderId="15" xfId="0" applyFont="1" applyFill="1" applyBorder="1" applyAlignment="1">
      <alignment horizontal="center"/>
    </xf>
    <xf numFmtId="0" fontId="43" fillId="22" borderId="1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8" fillId="0" borderId="17" xfId="0" applyFont="1" applyBorder="1" applyAlignment="1">
      <alignment horizontal="center"/>
    </xf>
    <xf numFmtId="0" fontId="44" fillId="0" borderId="0" xfId="0" applyFont="1"/>
    <xf numFmtId="0" fontId="18" fillId="17" borderId="6" xfId="0" applyFont="1" applyFill="1" applyBorder="1" applyAlignment="1">
      <alignment horizontal="center"/>
    </xf>
    <xf numFmtId="0" fontId="18" fillId="17" borderId="7" xfId="0" applyFont="1" applyFill="1" applyBorder="1" applyAlignment="1">
      <alignment horizontal="center"/>
    </xf>
    <xf numFmtId="0" fontId="18" fillId="17" borderId="8" xfId="0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43" fillId="23" borderId="13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18" fillId="20" borderId="6" xfId="0" applyFont="1" applyFill="1" applyBorder="1"/>
    <xf numFmtId="0" fontId="18" fillId="20" borderId="7" xfId="0" applyFont="1" applyFill="1" applyBorder="1" applyAlignment="1">
      <alignment horizontal="center"/>
    </xf>
    <xf numFmtId="0" fontId="18" fillId="20" borderId="8" xfId="0" applyFont="1" applyFill="1" applyBorder="1" applyAlignment="1">
      <alignment horizontal="center"/>
    </xf>
    <xf numFmtId="0" fontId="47" fillId="10" borderId="0" xfId="0" applyFont="1" applyFill="1"/>
    <xf numFmtId="0" fontId="47" fillId="0" borderId="0" xfId="0" applyFont="1"/>
    <xf numFmtId="0" fontId="0" fillId="25" borderId="0" xfId="0" applyFill="1"/>
    <xf numFmtId="0" fontId="48" fillId="4" borderId="0" xfId="0" applyFont="1" applyFill="1"/>
    <xf numFmtId="0" fontId="48" fillId="0" borderId="0" xfId="0" applyFont="1"/>
    <xf numFmtId="0" fontId="50" fillId="0" borderId="0" xfId="0" applyFont="1"/>
    <xf numFmtId="0" fontId="46" fillId="0" borderId="0" xfId="0" applyFont="1"/>
    <xf numFmtId="0" fontId="58" fillId="25" borderId="0" xfId="0" applyFont="1" applyFill="1"/>
    <xf numFmtId="0" fontId="58" fillId="25" borderId="0" xfId="0" applyFont="1" applyFill="1" applyAlignment="1">
      <alignment horizontal="center" vertical="center"/>
    </xf>
    <xf numFmtId="0" fontId="59" fillId="0" borderId="0" xfId="0" applyFont="1"/>
    <xf numFmtId="0" fontId="60" fillId="25" borderId="0" xfId="0" applyFont="1" applyFill="1"/>
    <xf numFmtId="0" fontId="59" fillId="4" borderId="0" xfId="0" applyFont="1" applyFill="1"/>
    <xf numFmtId="0" fontId="46" fillId="4" borderId="0" xfId="0" applyFont="1" applyFill="1"/>
    <xf numFmtId="0" fontId="0" fillId="0" borderId="9" xfId="0" applyBorder="1"/>
    <xf numFmtId="3" fontId="0" fillId="0" borderId="9" xfId="0" applyNumberFormat="1" applyBorder="1" applyAlignment="1">
      <alignment horizontal="center"/>
    </xf>
    <xf numFmtId="0" fontId="0" fillId="0" borderId="12" xfId="0" applyBorder="1"/>
    <xf numFmtId="3" fontId="0" fillId="0" borderId="12" xfId="0" applyNumberFormat="1" applyBorder="1" applyAlignment="1">
      <alignment horizontal="center"/>
    </xf>
    <xf numFmtId="0" fontId="45" fillId="27" borderId="20" xfId="0" applyFont="1" applyFill="1" applyBorder="1"/>
    <xf numFmtId="0" fontId="45" fillId="27" borderId="7" xfId="0" applyFont="1" applyFill="1" applyBorder="1"/>
    <xf numFmtId="0" fontId="45" fillId="27" borderId="8" xfId="0" applyFont="1" applyFill="1" applyBorder="1"/>
    <xf numFmtId="0" fontId="63" fillId="4" borderId="0" xfId="0" applyFont="1" applyFill="1"/>
    <xf numFmtId="0" fontId="64" fillId="4" borderId="0" xfId="0" applyFont="1" applyFill="1"/>
    <xf numFmtId="16" fontId="64" fillId="4" borderId="0" xfId="0" applyNumberFormat="1" applyFont="1" applyFill="1"/>
    <xf numFmtId="0" fontId="4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8" fillId="4" borderId="0" xfId="0" applyFont="1" applyFill="1" applyAlignment="1">
      <alignment horizontal="center"/>
    </xf>
    <xf numFmtId="3" fontId="53" fillId="26" borderId="23" xfId="0" applyNumberFormat="1" applyFont="1" applyFill="1" applyBorder="1" applyAlignment="1">
      <alignment horizontal="left" vertical="center" indent="1"/>
    </xf>
    <xf numFmtId="3" fontId="53" fillId="26" borderId="24" xfId="0" applyNumberFormat="1" applyFont="1" applyFill="1" applyBorder="1" applyAlignment="1">
      <alignment horizontal="left" vertical="center" indent="1"/>
    </xf>
    <xf numFmtId="3" fontId="54" fillId="26" borderId="23" xfId="0" applyNumberFormat="1" applyFont="1" applyFill="1" applyBorder="1" applyAlignment="1">
      <alignment horizontal="left" vertical="center" indent="1"/>
    </xf>
    <xf numFmtId="3" fontId="54" fillId="26" borderId="24" xfId="0" applyNumberFormat="1" applyFont="1" applyFill="1" applyBorder="1" applyAlignment="1">
      <alignment horizontal="left" vertical="center" indent="1"/>
    </xf>
    <xf numFmtId="3" fontId="55" fillId="26" borderId="23" xfId="0" applyNumberFormat="1" applyFont="1" applyFill="1" applyBorder="1" applyAlignment="1">
      <alignment horizontal="left" vertical="center" indent="1"/>
    </xf>
    <xf numFmtId="3" fontId="55" fillId="26" borderId="24" xfId="0" applyNumberFormat="1" applyFont="1" applyFill="1" applyBorder="1" applyAlignment="1">
      <alignment horizontal="left" vertical="center" indent="1"/>
    </xf>
    <xf numFmtId="164" fontId="56" fillId="26" borderId="23" xfId="0" applyNumberFormat="1" applyFont="1" applyFill="1" applyBorder="1" applyAlignment="1">
      <alignment horizontal="left" vertical="center" indent="1"/>
    </xf>
    <xf numFmtId="164" fontId="56" fillId="26" borderId="24" xfId="0" applyNumberFormat="1" applyFont="1" applyFill="1" applyBorder="1" applyAlignment="1">
      <alignment horizontal="left" vertical="center" indent="1"/>
    </xf>
    <xf numFmtId="167" fontId="57" fillId="26" borderId="23" xfId="0" applyNumberFormat="1" applyFont="1" applyFill="1" applyBorder="1" applyAlignment="1">
      <alignment horizontal="left" vertical="center" indent="1"/>
    </xf>
    <xf numFmtId="167" fontId="57" fillId="26" borderId="24" xfId="0" applyNumberFormat="1" applyFont="1" applyFill="1" applyBorder="1" applyAlignment="1">
      <alignment horizontal="left" vertical="center" indent="1"/>
    </xf>
    <xf numFmtId="0" fontId="49" fillId="23" borderId="0" xfId="0" applyFont="1" applyFill="1" applyAlignment="1">
      <alignment horizontal="left" vertical="center" indent="1"/>
    </xf>
    <xf numFmtId="0" fontId="51" fillId="23" borderId="0" xfId="0" applyFont="1" applyFill="1" applyAlignment="1">
      <alignment vertical="center" indent="1"/>
    </xf>
    <xf numFmtId="0" fontId="52" fillId="26" borderId="21" xfId="0" applyFont="1" applyFill="1" applyBorder="1" applyAlignment="1">
      <alignment indent="1"/>
    </xf>
    <xf numFmtId="0" fontId="52" fillId="26" borderId="22" xfId="0" applyFont="1" applyFill="1" applyBorder="1" applyAlignment="1">
      <alignment indent="1"/>
    </xf>
    <xf numFmtId="0" fontId="21" fillId="22" borderId="14" xfId="0" applyFont="1" applyFill="1" applyBorder="1"/>
    <xf numFmtId="0" fontId="21" fillId="22" borderId="15" xfId="0" applyFont="1" applyFill="1" applyBorder="1"/>
    <xf numFmtId="0" fontId="21" fillId="22" borderId="16" xfId="0" applyFont="1" applyFill="1" applyBorder="1"/>
    <xf numFmtId="0" fontId="21" fillId="24" borderId="0" xfId="0" applyFont="1" applyFill="1" applyAlignment="1">
      <alignment horizontal="center"/>
    </xf>
    <xf numFmtId="0" fontId="19" fillId="11" borderId="0" xfId="0" applyFont="1" applyFill="1" applyAlignment="1">
      <alignment horizontal="center" vertical="center"/>
    </xf>
    <xf numFmtId="0" fontId="21" fillId="12" borderId="6" xfId="0" applyFont="1" applyFill="1" applyBorder="1" applyAlignment="1">
      <alignment horizontal="center"/>
    </xf>
    <xf numFmtId="0" fontId="21" fillId="12" borderId="7" xfId="0" applyFont="1" applyFill="1" applyBorder="1" applyAlignment="1">
      <alignment horizontal="center"/>
    </xf>
    <xf numFmtId="0" fontId="21" fillId="12" borderId="8" xfId="0" applyFont="1" applyFill="1" applyBorder="1" applyAlignment="1">
      <alignment horizontal="center"/>
    </xf>
    <xf numFmtId="0" fontId="35" fillId="19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82">
    <dxf>
      <font>
        <color rgb="FFFF0000"/>
      </font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04834450756783E-2"/>
          <c:y val="0.12337164006566868"/>
          <c:w val="0.96564028230063326"/>
          <c:h val="0.694288370332858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'MSI Report'!$B$39</c:f>
              <c:strCache>
                <c:ptCount val="1"/>
                <c:pt idx="0">
                  <c:v>Modules Visited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'MSI Report'!$A$40:$A$70</c:f>
              <c:numCache>
                <c:formatCode>d\-mmm</c:formatCode>
                <c:ptCount val="3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</c:numCache>
            </c:numRef>
          </c:cat>
          <c:val>
            <c:numRef>
              <c:f>'MSI Report'!$B$40:$B$70</c:f>
              <c:numCache>
                <c:formatCode>#,##0</c:formatCode>
                <c:ptCount val="31"/>
                <c:pt idx="0">
                  <c:v>40</c:v>
                </c:pt>
                <c:pt idx="1">
                  <c:v>46</c:v>
                </c:pt>
                <c:pt idx="2">
                  <c:v>51</c:v>
                </c:pt>
                <c:pt idx="3">
                  <c:v>54</c:v>
                </c:pt>
                <c:pt idx="4">
                  <c:v>0</c:v>
                </c:pt>
                <c:pt idx="5">
                  <c:v>46</c:v>
                </c:pt>
                <c:pt idx="6">
                  <c:v>38</c:v>
                </c:pt>
                <c:pt idx="7">
                  <c:v>12</c:v>
                </c:pt>
                <c:pt idx="8">
                  <c:v>10</c:v>
                </c:pt>
                <c:pt idx="9">
                  <c:v>23</c:v>
                </c:pt>
                <c:pt idx="10">
                  <c:v>38</c:v>
                </c:pt>
                <c:pt idx="11">
                  <c:v>0</c:v>
                </c:pt>
                <c:pt idx="12">
                  <c:v>25</c:v>
                </c:pt>
                <c:pt idx="13">
                  <c:v>0</c:v>
                </c:pt>
                <c:pt idx="14">
                  <c:v>31</c:v>
                </c:pt>
                <c:pt idx="15">
                  <c:v>28</c:v>
                </c:pt>
                <c:pt idx="16">
                  <c:v>29</c:v>
                </c:pt>
                <c:pt idx="17">
                  <c:v>1</c:v>
                </c:pt>
                <c:pt idx="18">
                  <c:v>0</c:v>
                </c:pt>
                <c:pt idx="19">
                  <c:v>3</c:v>
                </c:pt>
                <c:pt idx="20">
                  <c:v>31</c:v>
                </c:pt>
                <c:pt idx="21">
                  <c:v>17</c:v>
                </c:pt>
                <c:pt idx="22">
                  <c:v>25</c:v>
                </c:pt>
                <c:pt idx="23">
                  <c:v>33</c:v>
                </c:pt>
                <c:pt idx="24">
                  <c:v>27</c:v>
                </c:pt>
                <c:pt idx="25">
                  <c:v>0</c:v>
                </c:pt>
                <c:pt idx="26">
                  <c:v>44</c:v>
                </c:pt>
                <c:pt idx="27">
                  <c:v>41</c:v>
                </c:pt>
                <c:pt idx="28">
                  <c:v>33</c:v>
                </c:pt>
                <c:pt idx="29">
                  <c:v>27</c:v>
                </c:pt>
                <c:pt idx="30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B-467E-BC7C-A586935F1D86}"/>
            </c:ext>
          </c:extLst>
        </c:ser>
        <c:ser>
          <c:idx val="1"/>
          <c:order val="1"/>
          <c:tx>
            <c:strRef>
              <c:f>'MSI Report'!$C$39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'MSI Report'!$A$40:$A$70</c:f>
              <c:numCache>
                <c:formatCode>d\-mmm</c:formatCode>
                <c:ptCount val="3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</c:numCache>
            </c:numRef>
          </c:cat>
          <c:val>
            <c:numRef>
              <c:f>'MSI Report'!$C$40:$C$70</c:f>
              <c:numCache>
                <c:formatCode>#,##0</c:formatCode>
                <c:ptCount val="31"/>
                <c:pt idx="0">
                  <c:v>40</c:v>
                </c:pt>
                <c:pt idx="1">
                  <c:v>46</c:v>
                </c:pt>
                <c:pt idx="2">
                  <c:v>51</c:v>
                </c:pt>
                <c:pt idx="3">
                  <c:v>54</c:v>
                </c:pt>
                <c:pt idx="4">
                  <c:v>0</c:v>
                </c:pt>
                <c:pt idx="5">
                  <c:v>46</c:v>
                </c:pt>
                <c:pt idx="6">
                  <c:v>28</c:v>
                </c:pt>
                <c:pt idx="7">
                  <c:v>12</c:v>
                </c:pt>
                <c:pt idx="8">
                  <c:v>10</c:v>
                </c:pt>
                <c:pt idx="9">
                  <c:v>24</c:v>
                </c:pt>
                <c:pt idx="10">
                  <c:v>38</c:v>
                </c:pt>
                <c:pt idx="11">
                  <c:v>0</c:v>
                </c:pt>
                <c:pt idx="12">
                  <c:v>22</c:v>
                </c:pt>
                <c:pt idx="13">
                  <c:v>0</c:v>
                </c:pt>
                <c:pt idx="14">
                  <c:v>30</c:v>
                </c:pt>
                <c:pt idx="15">
                  <c:v>110</c:v>
                </c:pt>
                <c:pt idx="16">
                  <c:v>31</c:v>
                </c:pt>
                <c:pt idx="17">
                  <c:v>1</c:v>
                </c:pt>
                <c:pt idx="18">
                  <c:v>0</c:v>
                </c:pt>
                <c:pt idx="19">
                  <c:v>3</c:v>
                </c:pt>
                <c:pt idx="20">
                  <c:v>31</c:v>
                </c:pt>
                <c:pt idx="21">
                  <c:v>17</c:v>
                </c:pt>
                <c:pt idx="22">
                  <c:v>25</c:v>
                </c:pt>
                <c:pt idx="23">
                  <c:v>33</c:v>
                </c:pt>
                <c:pt idx="24">
                  <c:v>27</c:v>
                </c:pt>
                <c:pt idx="25">
                  <c:v>0</c:v>
                </c:pt>
                <c:pt idx="26">
                  <c:v>44</c:v>
                </c:pt>
                <c:pt idx="27">
                  <c:v>34</c:v>
                </c:pt>
                <c:pt idx="28">
                  <c:v>33</c:v>
                </c:pt>
                <c:pt idx="29">
                  <c:v>27</c:v>
                </c:pt>
                <c:pt idx="30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0B-467E-BC7C-A586935F1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6937200"/>
        <c:axId val="995712912"/>
      </c:barChart>
      <c:dateAx>
        <c:axId val="36693720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712912"/>
        <c:crosses val="autoZero"/>
        <c:auto val="1"/>
        <c:lblOffset val="100"/>
        <c:baseTimeUnit val="days"/>
      </c:dateAx>
      <c:valAx>
        <c:axId val="995712912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93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096612075874032"/>
          <c:y val="6.1972603133158166E-2"/>
          <c:w val="0.12837223310691634"/>
          <c:h val="0.128065759913973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'MSI Report'!$B$18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'MSI Report'!$A$19:$A$30</c:f>
              <c:strCache>
                <c:ptCount val="12"/>
                <c:pt idx="0">
                  <c:v>True Sun Trading Company</c:v>
                </c:pt>
                <c:pt idx="1">
                  <c:v>Ayana</c:v>
                </c:pt>
                <c:pt idx="2">
                  <c:v>First Energy</c:v>
                </c:pt>
                <c:pt idx="3">
                  <c:v>Yanara Power</c:v>
                </c:pt>
                <c:pt idx="4">
                  <c:v>Freyr Energy</c:v>
                </c:pt>
                <c:pt idx="5">
                  <c:v>Solar Square</c:v>
                </c:pt>
                <c:pt idx="6">
                  <c:v>Panasonic</c:v>
                </c:pt>
                <c:pt idx="7">
                  <c:v>Arsiga Solar</c:v>
                </c:pt>
                <c:pt idx="8">
                  <c:v>Vashi</c:v>
                </c:pt>
                <c:pt idx="9">
                  <c:v>DSH Trading</c:v>
                </c:pt>
                <c:pt idx="10">
                  <c:v>Axitec Energy</c:v>
                </c:pt>
                <c:pt idx="11">
                  <c:v>Nabhas Construction</c:v>
                </c:pt>
              </c:strCache>
            </c:strRef>
          </c:cat>
          <c:val>
            <c:numRef>
              <c:f>'MSI Report'!$B$19:$B$30</c:f>
              <c:numCache>
                <c:formatCode>#,##0</c:formatCode>
                <c:ptCount val="12"/>
                <c:pt idx="0">
                  <c:v>1</c:v>
                </c:pt>
                <c:pt idx="1">
                  <c:v>224</c:v>
                </c:pt>
                <c:pt idx="2">
                  <c:v>483</c:v>
                </c:pt>
                <c:pt idx="3">
                  <c:v>12</c:v>
                </c:pt>
                <c:pt idx="4">
                  <c:v>3</c:v>
                </c:pt>
                <c:pt idx="5">
                  <c:v>38</c:v>
                </c:pt>
                <c:pt idx="6">
                  <c:v>20</c:v>
                </c:pt>
                <c:pt idx="7">
                  <c:v>4</c:v>
                </c:pt>
                <c:pt idx="8">
                  <c:v>91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0-405E-8FC8-88CF47D3C10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82763856"/>
        <c:axId val="1119424880"/>
      </c:barChart>
      <c:catAx>
        <c:axId val="282763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24880"/>
        <c:crosses val="autoZero"/>
        <c:auto val="1"/>
        <c:lblAlgn val="ctr"/>
        <c:lblOffset val="100"/>
        <c:noMultiLvlLbl val="0"/>
      </c:catAx>
      <c:valAx>
        <c:axId val="11194248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76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'MSI Report'!$I$18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'MSI Report'!$H$19:$H$28</c:f>
              <c:strCache>
                <c:ptCount val="10"/>
                <c:pt idx="0">
                  <c:v>Kerala</c:v>
                </c:pt>
                <c:pt idx="1">
                  <c:v>Gujarat</c:v>
                </c:pt>
                <c:pt idx="2">
                  <c:v>Tamil Nadu</c:v>
                </c:pt>
                <c:pt idx="3">
                  <c:v>Maharashtra</c:v>
                </c:pt>
                <c:pt idx="4">
                  <c:v>Andhra Pradesh</c:v>
                </c:pt>
                <c:pt idx="5">
                  <c:v>Uttar Pradesh</c:v>
                </c:pt>
                <c:pt idx="6">
                  <c:v>Rajasthan</c:v>
                </c:pt>
                <c:pt idx="7">
                  <c:v>Telangana</c:v>
                </c:pt>
                <c:pt idx="8">
                  <c:v>Haryana</c:v>
                </c:pt>
                <c:pt idx="9">
                  <c:v>Karnataka</c:v>
                </c:pt>
              </c:strCache>
            </c:strRef>
          </c:cat>
          <c:val>
            <c:numRef>
              <c:f>'MSI Report'!$I$19:$I$28</c:f>
              <c:numCache>
                <c:formatCode>#,##0</c:formatCode>
                <c:ptCount val="10"/>
                <c:pt idx="0">
                  <c:v>3</c:v>
                </c:pt>
                <c:pt idx="1">
                  <c:v>224</c:v>
                </c:pt>
                <c:pt idx="2">
                  <c:v>483</c:v>
                </c:pt>
                <c:pt idx="3">
                  <c:v>125</c:v>
                </c:pt>
                <c:pt idx="4">
                  <c:v>3</c:v>
                </c:pt>
                <c:pt idx="5">
                  <c:v>12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D-4FED-9709-8E07BC37E79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282792624"/>
        <c:axId val="1119478160"/>
      </c:barChart>
      <c:catAx>
        <c:axId val="28279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78160"/>
        <c:crosses val="autoZero"/>
        <c:auto val="1"/>
        <c:lblAlgn val="ctr"/>
        <c:lblOffset val="100"/>
        <c:noMultiLvlLbl val="0"/>
      </c:catAx>
      <c:valAx>
        <c:axId val="111947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79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3"/>
          <c:order val="3"/>
          <c:tx>
            <c:strRef>
              <c:f>'MSI Report'!$E$73</c:f>
              <c:strCache>
                <c:ptCount val="1"/>
                <c:pt idx="0">
                  <c:v>Grand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D90-41C9-B928-B909EEFD37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D90-41C9-B928-B909EEFD37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D90-41C9-B928-B909EEFD37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D90-41C9-B928-B909EEFD379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D90-41C9-B928-B909EEFD379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D90-41C9-B928-B909EEFD379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D90-41C9-B928-B909EEFD379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D90-41C9-B928-B909EEFD379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'MSI Report'!$A$74:$A$95</c15:sqref>
                  </c15:fullRef>
                </c:ext>
              </c:extLst>
              <c:f>('MSI Report'!$A$74:$A$78,'MSI Report'!$A$83:$A$89,'MSI Report'!$A$93:$A$95)</c:f>
              <c:strCache>
                <c:ptCount val="8"/>
                <c:pt idx="0">
                  <c:v>JB Issue</c:v>
                </c:pt>
                <c:pt idx="1">
                  <c:v>Cold Soldering</c:v>
                </c:pt>
                <c:pt idx="2">
                  <c:v>Backsheet Damage</c:v>
                </c:pt>
                <c:pt idx="3">
                  <c:v>No Issue Found</c:v>
                </c:pt>
                <c:pt idx="4">
                  <c:v>Glass Breakage</c:v>
                </c:pt>
                <c:pt idx="5">
                  <c:v>Cell/Transparent Backsheet burn</c:v>
                </c:pt>
                <c:pt idx="6">
                  <c:v>Burn Spot</c:v>
                </c:pt>
                <c:pt idx="7">
                  <c:v>Closed by client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'MSI Report'!$E$74:$E$95</c15:sqref>
                  </c15:fullRef>
                </c:ext>
              </c:extLst>
              <c:f>('MSI Report'!$E$74:$E$78,'MSI Report'!$E$83:$E$89,'MSI Report'!$E$93:$E$95)</c:f>
              <c:numCache>
                <c:formatCode>General</c:formatCode>
                <c:ptCount val="8"/>
                <c:pt idx="0">
                  <c:v>38</c:v>
                </c:pt>
                <c:pt idx="1">
                  <c:v>681</c:v>
                </c:pt>
                <c:pt idx="2">
                  <c:v>2</c:v>
                </c:pt>
                <c:pt idx="3">
                  <c:v>11</c:v>
                </c:pt>
                <c:pt idx="4">
                  <c:v>6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10-2D90-41C9-B928-B909EEFD379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'MSI Report'!$B$73</c15:sqref>
                        </c15:formulaRef>
                      </c:ext>
                    </c:extLst>
                    <c:strCache>
                      <c:ptCount val="1"/>
                      <c:pt idx="0">
                        <c:v>G2B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2-2D90-41C9-B928-B909EEFD379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4-2D90-41C9-B928-B909EEFD379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6-2D90-41C9-B928-B909EEFD3790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8-2D90-41C9-B928-B909EEFD3790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A-2D90-41C9-B928-B909EEFD3790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C-2D90-41C9-B928-B909EEFD3790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E-2D90-41C9-B928-B909EEFD3790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0-2D90-41C9-B928-B909EEFD3790}"/>
                    </c:ext>
                  </c:extLst>
                </c:dPt>
                <c:dLbls>
                  <c:dLbl>
                    <c:idx val="0"/>
                    <c:dLblPos val="ctr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uri="{CE6537A1-D6FC-4f65-9D91-7224C49458BB}">
                        <c15:layout>
                          <c:manualLayout>
                            <c:w val="9.986220472440948E-3"/>
                            <c:h val="7.0393700787401578E-2"/>
                          </c:manualLayout>
                        </c15:layout>
                      </c:ext>
                      <c:ext xmlns:c16="http://schemas.microsoft.com/office/drawing/2014/chart" uri="{C3380CC4-5D6E-409C-BE32-E72D297353CC}">
                        <c16:uniqueId val="{00000012-2D90-41C9-B928-B909EEFD3790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'MSI Report'!$A$74:$A$95</c15:sqref>
                        </c15:fullRef>
                        <c15:formulaRef>
                          <c15:sqref>('MSI Report'!$A$74:$A$78,'MSI Report'!$A$83:$A$89,'MSI Report'!$A$93:$A$95)</c15:sqref>
                        </c15:formulaRef>
                      </c:ext>
                    </c:extLst>
                    <c:strCache>
                      <c:ptCount val="8"/>
                      <c:pt idx="0">
                        <c:v>JB Issue</c:v>
                      </c:pt>
                      <c:pt idx="1">
                        <c:v>Cold Soldering</c:v>
                      </c:pt>
                      <c:pt idx="2">
                        <c:v>Backsheet Damage</c:v>
                      </c:pt>
                      <c:pt idx="3">
                        <c:v>No Issue Found</c:v>
                      </c:pt>
                      <c:pt idx="4">
                        <c:v>Glass Breakage</c:v>
                      </c:pt>
                      <c:pt idx="5">
                        <c:v>Cell/Transparent Backsheet burn</c:v>
                      </c:pt>
                      <c:pt idx="6">
                        <c:v>Burn Spot</c:v>
                      </c:pt>
                      <c:pt idx="7">
                        <c:v>Closed by client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'MSI Report'!$B$74:$B$95</c15:sqref>
                        </c15:fullRef>
                        <c15:formulaRef>
                          <c15:sqref>('MSI Report'!$B$74:$B$78,'MSI Report'!$B$83:$B$89,'MSI Report'!$B$93:$B$95)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19</c:v>
                      </c:pt>
                      <c:pt idx="1">
                        <c:v>468</c:v>
                      </c:pt>
                      <c:pt idx="2">
                        <c:v>2</c:v>
                      </c:pt>
                      <c:pt idx="3">
                        <c:v>9</c:v>
                      </c:pt>
                      <c:pt idx="4">
                        <c:v>2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1-2D90-41C9-B928-B909EEFD3790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'MSI Report'!$C$73</c15:sqref>
                        </c15:formulaRef>
                      </c:ext>
                    </c:extLst>
                    <c:strCache>
                      <c:ptCount val="1"/>
                      <c:pt idx="0">
                        <c:v>G2TB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3-2D90-41C9-B928-B909EEFD379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2D90-41C9-B928-B909EEFD379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2D90-41C9-B928-B909EEFD3790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2D90-41C9-B928-B909EEFD3790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2D90-41C9-B928-B909EEFD3790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D-2D90-41C9-B928-B909EEFD3790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F-2D90-41C9-B928-B909EEFD3790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1-2D90-41C9-B928-B909EEFD3790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'MSI Report'!$A$74:$A$95</c15:sqref>
                        </c15:fullRef>
                        <c15:formulaRef>
                          <c15:sqref>('MSI Report'!$A$74:$A$78,'MSI Report'!$A$83:$A$89,'MSI Report'!$A$93:$A$95)</c15:sqref>
                        </c15:formulaRef>
                      </c:ext>
                    </c:extLst>
                    <c:strCache>
                      <c:ptCount val="8"/>
                      <c:pt idx="0">
                        <c:v>JB Issue</c:v>
                      </c:pt>
                      <c:pt idx="1">
                        <c:v>Cold Soldering</c:v>
                      </c:pt>
                      <c:pt idx="2">
                        <c:v>Backsheet Damage</c:v>
                      </c:pt>
                      <c:pt idx="3">
                        <c:v>No Issue Found</c:v>
                      </c:pt>
                      <c:pt idx="4">
                        <c:v>Glass Breakage</c:v>
                      </c:pt>
                      <c:pt idx="5">
                        <c:v>Cell/Transparent Backsheet burn</c:v>
                      </c:pt>
                      <c:pt idx="6">
                        <c:v>Burn Spot</c:v>
                      </c:pt>
                      <c:pt idx="7">
                        <c:v>Closed by client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'MSI Report'!$C$74:$C$95</c15:sqref>
                        </c15:fullRef>
                        <c15:formulaRef>
                          <c15:sqref>('MSI Report'!$C$74:$C$78,'MSI Report'!$C$83:$C$89,'MSI Report'!$C$93:$C$95)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5</c:v>
                      </c:pt>
                      <c:pt idx="1">
                        <c:v>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2-2D90-41C9-B928-B909EEFD3790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'MSI Report'!$D$73</c15:sqref>
                        </c15:formulaRef>
                      </c:ext>
                    </c:extLst>
                    <c:strCache>
                      <c:ptCount val="1"/>
                      <c:pt idx="0">
                        <c:v>G2G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4-2D90-41C9-B928-B909EEFD379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6-2D90-41C9-B928-B909EEFD379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8-2D90-41C9-B928-B909EEFD3790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A-2D90-41C9-B928-B909EEFD3790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C-2D90-41C9-B928-B909EEFD3790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E-2D90-41C9-B928-B909EEFD3790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40-2D90-41C9-B928-B909EEFD3790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42-2D90-41C9-B928-B909EEFD3790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'MSI Report'!$A$74:$A$95</c15:sqref>
                        </c15:fullRef>
                        <c15:formulaRef>
                          <c15:sqref>('MSI Report'!$A$74:$A$78,'MSI Report'!$A$83:$A$89,'MSI Report'!$A$93:$A$95)</c15:sqref>
                        </c15:formulaRef>
                      </c:ext>
                    </c:extLst>
                    <c:strCache>
                      <c:ptCount val="8"/>
                      <c:pt idx="0">
                        <c:v>JB Issue</c:v>
                      </c:pt>
                      <c:pt idx="1">
                        <c:v>Cold Soldering</c:v>
                      </c:pt>
                      <c:pt idx="2">
                        <c:v>Backsheet Damage</c:v>
                      </c:pt>
                      <c:pt idx="3">
                        <c:v>No Issue Found</c:v>
                      </c:pt>
                      <c:pt idx="4">
                        <c:v>Glass Breakage</c:v>
                      </c:pt>
                      <c:pt idx="5">
                        <c:v>Cell/Transparent Backsheet burn</c:v>
                      </c:pt>
                      <c:pt idx="6">
                        <c:v>Burn Spot</c:v>
                      </c:pt>
                      <c:pt idx="7">
                        <c:v>Closed by client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'MSI Report'!$D$74:$D$95</c15:sqref>
                        </c15:fullRef>
                        <c15:formulaRef>
                          <c15:sqref>('MSI Report'!$D$74:$D$78,'MSI Report'!$D$83:$D$89,'MSI Report'!$D$93:$D$95)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14</c:v>
                      </c:pt>
                      <c:pt idx="1">
                        <c:v>210</c:v>
                      </c:pt>
                      <c:pt idx="2">
                        <c:v>0</c:v>
                      </c:pt>
                      <c:pt idx="3">
                        <c:v>2</c:v>
                      </c:pt>
                      <c:pt idx="4">
                        <c:v>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3-2D90-41C9-B928-B909EEFD379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'MSI Report'!$I$54</c:f>
              <c:strCache>
                <c:ptCount val="1"/>
                <c:pt idx="0">
                  <c:v>Modules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'MSI Report'!$H$55:$H$59</c:f>
              <c:strCache>
                <c:ptCount val="5"/>
                <c:pt idx="0">
                  <c:v>0 - 3 days</c:v>
                </c:pt>
                <c:pt idx="1">
                  <c:v>4 - 7 days</c:v>
                </c:pt>
                <c:pt idx="2">
                  <c:v>8 - 15 days</c:v>
                </c:pt>
                <c:pt idx="3">
                  <c:v>16 - 30 days</c:v>
                </c:pt>
                <c:pt idx="4">
                  <c:v>&gt; 30 days</c:v>
                </c:pt>
              </c:strCache>
            </c:strRef>
          </c:cat>
          <c:val>
            <c:numRef>
              <c:f>'MSI Report'!$I$55:$I$59</c:f>
              <c:numCache>
                <c:formatCode>#,##0</c:formatCode>
                <c:ptCount val="5"/>
                <c:pt idx="0">
                  <c:v>92</c:v>
                </c:pt>
                <c:pt idx="1">
                  <c:v>1</c:v>
                </c:pt>
                <c:pt idx="2">
                  <c:v>22</c:v>
                </c:pt>
                <c:pt idx="3">
                  <c:v>170</c:v>
                </c:pt>
                <c:pt idx="4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7-4AC0-A85D-7B9AD693AA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9812432"/>
        <c:axId val="1119429200"/>
      </c:barChart>
      <c:catAx>
        <c:axId val="11981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29200"/>
        <c:crosses val="autoZero"/>
        <c:auto val="1"/>
        <c:lblAlgn val="ctr"/>
        <c:lblOffset val="100"/>
        <c:noMultiLvlLbl val="0"/>
      </c:catAx>
      <c:valAx>
        <c:axId val="111942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'MSI Report'!$I$45</c:f>
              <c:strCache>
                <c:ptCount val="1"/>
                <c:pt idx="0">
                  <c:v>Modules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'MSI Report'!$H$46:$H$49</c:f>
              <c:strCache>
                <c:ptCount val="4"/>
                <c:pt idx="0">
                  <c:v>P4 - PEIPL</c:v>
                </c:pt>
                <c:pt idx="1">
                  <c:v>P2 - PEPPL</c:v>
                </c:pt>
                <c:pt idx="2">
                  <c:v>P5 - PEGPL</c:v>
                </c:pt>
                <c:pt idx="3">
                  <c:v>P1-PEL</c:v>
                </c:pt>
              </c:strCache>
            </c:strRef>
          </c:cat>
          <c:val>
            <c:numRef>
              <c:f>'MSI Report'!$I$46:$I$49</c:f>
              <c:numCache>
                <c:formatCode>#,##0</c:formatCode>
                <c:ptCount val="4"/>
                <c:pt idx="0">
                  <c:v>228</c:v>
                </c:pt>
                <c:pt idx="1">
                  <c:v>524</c:v>
                </c:pt>
                <c:pt idx="2">
                  <c:v>106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F-4CC9-B916-E5876F648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82812576"/>
        <c:axId val="1119434480"/>
      </c:barChart>
      <c:catAx>
        <c:axId val="28281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34480"/>
        <c:crosses val="autoZero"/>
        <c:auto val="1"/>
        <c:lblAlgn val="ctr"/>
        <c:lblOffset val="100"/>
        <c:noMultiLvlLbl val="0"/>
      </c:catAx>
      <c:valAx>
        <c:axId val="111943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81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'MSI Report'!$B$73</c:f>
              <c:strCache>
                <c:ptCount val="1"/>
                <c:pt idx="0">
                  <c:v>G2B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'MSI Report'!$A$74:$A$95</c:f>
              <c:strCache>
                <c:ptCount val="15"/>
                <c:pt idx="0">
                  <c:v>JB Issue</c:v>
                </c:pt>
                <c:pt idx="1">
                  <c:v>Cold Soldering</c:v>
                </c:pt>
                <c:pt idx="2">
                  <c:v>Backsheet Damage</c:v>
                </c:pt>
                <c:pt idx="3">
                  <c:v>No Issue Found</c:v>
                </c:pt>
                <c:pt idx="4">
                  <c:v>Glass Breakage</c:v>
                </c:pt>
                <c:pt idx="5">
                  <c:v>Hotspot</c:v>
                </c:pt>
                <c:pt idx="6">
                  <c:v>EL Failure</c:v>
                </c:pt>
                <c:pt idx="7">
                  <c:v>Aesthetic</c:v>
                </c:pt>
                <c:pt idx="8">
                  <c:v>Lightning strike / Wrong connection</c:v>
                </c:pt>
                <c:pt idx="9">
                  <c:v>Tab lead Burn &amp; Glass Breakage</c:v>
                </c:pt>
                <c:pt idx="10">
                  <c:v>Improper and loose clipping</c:v>
                </c:pt>
                <c:pt idx="11">
                  <c:v>Low VOC</c:v>
                </c:pt>
                <c:pt idx="12">
                  <c:v>Cell/Transparent Backsheet burn</c:v>
                </c:pt>
                <c:pt idx="13">
                  <c:v>Burn Spot</c:v>
                </c:pt>
                <c:pt idx="14">
                  <c:v>Closed by client</c:v>
                </c:pt>
              </c:strCache>
            </c:strRef>
          </c:cat>
          <c:val>
            <c:numRef>
              <c:f>'MSI Report'!$B$74:$B$95</c:f>
              <c:numCache>
                <c:formatCode>General</c:formatCode>
                <c:ptCount val="15"/>
                <c:pt idx="0">
                  <c:v>19</c:v>
                </c:pt>
                <c:pt idx="1">
                  <c:v>468</c:v>
                </c:pt>
                <c:pt idx="2">
                  <c:v>2</c:v>
                </c:pt>
                <c:pt idx="3">
                  <c:v>9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3-4F9F-B341-19ACD3626F56}"/>
            </c:ext>
          </c:extLst>
        </c:ser>
        <c:ser>
          <c:idx val="1"/>
          <c:order val="1"/>
          <c:tx>
            <c:strRef>
              <c:f>'MSI Report'!$C$73</c:f>
              <c:strCache>
                <c:ptCount val="1"/>
                <c:pt idx="0">
                  <c:v>G2TB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'MSI Report'!$A$74:$A$95</c:f>
              <c:strCache>
                <c:ptCount val="15"/>
                <c:pt idx="0">
                  <c:v>JB Issue</c:v>
                </c:pt>
                <c:pt idx="1">
                  <c:v>Cold Soldering</c:v>
                </c:pt>
                <c:pt idx="2">
                  <c:v>Backsheet Damage</c:v>
                </c:pt>
                <c:pt idx="3">
                  <c:v>No Issue Found</c:v>
                </c:pt>
                <c:pt idx="4">
                  <c:v>Glass Breakage</c:v>
                </c:pt>
                <c:pt idx="5">
                  <c:v>Hotspot</c:v>
                </c:pt>
                <c:pt idx="6">
                  <c:v>EL Failure</c:v>
                </c:pt>
                <c:pt idx="7">
                  <c:v>Aesthetic</c:v>
                </c:pt>
                <c:pt idx="8">
                  <c:v>Lightning strike / Wrong connection</c:v>
                </c:pt>
                <c:pt idx="9">
                  <c:v>Tab lead Burn &amp; Glass Breakage</c:v>
                </c:pt>
                <c:pt idx="10">
                  <c:v>Improper and loose clipping</c:v>
                </c:pt>
                <c:pt idx="11">
                  <c:v>Low VOC</c:v>
                </c:pt>
                <c:pt idx="12">
                  <c:v>Cell/Transparent Backsheet burn</c:v>
                </c:pt>
                <c:pt idx="13">
                  <c:v>Burn Spot</c:v>
                </c:pt>
                <c:pt idx="14">
                  <c:v>Closed by client</c:v>
                </c:pt>
              </c:strCache>
            </c:strRef>
          </c:cat>
          <c:val>
            <c:numRef>
              <c:f>'MSI Report'!$C$74:$C$95</c:f>
              <c:numCache>
                <c:formatCode>General</c:formatCode>
                <c:ptCount val="15"/>
                <c:pt idx="0">
                  <c:v>5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8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53-4F9F-B341-19ACD3626F56}"/>
            </c:ext>
          </c:extLst>
        </c:ser>
        <c:ser>
          <c:idx val="2"/>
          <c:order val="2"/>
          <c:tx>
            <c:strRef>
              <c:f>'MSI Report'!$D$73</c:f>
              <c:strCache>
                <c:ptCount val="1"/>
                <c:pt idx="0">
                  <c:v>G2G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'MSI Report'!$A$74:$A$95</c:f>
              <c:strCache>
                <c:ptCount val="15"/>
                <c:pt idx="0">
                  <c:v>JB Issue</c:v>
                </c:pt>
                <c:pt idx="1">
                  <c:v>Cold Soldering</c:v>
                </c:pt>
                <c:pt idx="2">
                  <c:v>Backsheet Damage</c:v>
                </c:pt>
                <c:pt idx="3">
                  <c:v>No Issue Found</c:v>
                </c:pt>
                <c:pt idx="4">
                  <c:v>Glass Breakage</c:v>
                </c:pt>
                <c:pt idx="5">
                  <c:v>Hotspot</c:v>
                </c:pt>
                <c:pt idx="6">
                  <c:v>EL Failure</c:v>
                </c:pt>
                <c:pt idx="7">
                  <c:v>Aesthetic</c:v>
                </c:pt>
                <c:pt idx="8">
                  <c:v>Lightning strike / Wrong connection</c:v>
                </c:pt>
                <c:pt idx="9">
                  <c:v>Tab lead Burn &amp; Glass Breakage</c:v>
                </c:pt>
                <c:pt idx="10">
                  <c:v>Improper and loose clipping</c:v>
                </c:pt>
                <c:pt idx="11">
                  <c:v>Low VOC</c:v>
                </c:pt>
                <c:pt idx="12">
                  <c:v>Cell/Transparent Backsheet burn</c:v>
                </c:pt>
                <c:pt idx="13">
                  <c:v>Burn Spot</c:v>
                </c:pt>
                <c:pt idx="14">
                  <c:v>Closed by client</c:v>
                </c:pt>
              </c:strCache>
            </c:strRef>
          </c:cat>
          <c:val>
            <c:numRef>
              <c:f>'MSI Report'!$D$74:$D$95</c:f>
              <c:numCache>
                <c:formatCode>General</c:formatCode>
                <c:ptCount val="15"/>
                <c:pt idx="0">
                  <c:v>14</c:v>
                </c:pt>
                <c:pt idx="1">
                  <c:v>210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0</c:v>
                </c:pt>
                <c:pt idx="6">
                  <c:v>22</c:v>
                </c:pt>
                <c:pt idx="7">
                  <c:v>81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53-4F9F-B341-19ACD3626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8"/>
        <c:axId val="477194464"/>
        <c:axId val="1119411440"/>
      </c:barChart>
      <c:catAx>
        <c:axId val="477194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11440"/>
        <c:crosses val="autoZero"/>
        <c:auto val="1"/>
        <c:lblAlgn val="ctr"/>
        <c:lblOffset val="100"/>
        <c:noMultiLvlLbl val="0"/>
      </c:catAx>
      <c:valAx>
        <c:axId val="111941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19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'MSI Report'!$H$66</c:f>
              <c:strCache>
                <c:ptCount val="1"/>
                <c:pt idx="0">
                  <c:v>Week 1 (1-7 July)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'MSI Report'!$I$65:$K$65</c:f>
              <c:strCache>
                <c:ptCount val="3"/>
                <c:pt idx="0">
                  <c:v>Visited</c:v>
                </c:pt>
                <c:pt idx="1">
                  <c:v>Closed</c:v>
                </c:pt>
                <c:pt idx="2">
                  <c:v>WIP</c:v>
                </c:pt>
              </c:strCache>
            </c:strRef>
          </c:cat>
          <c:val>
            <c:numRef>
              <c:f>'MSI Report'!$I$66:$K$66</c:f>
              <c:numCache>
                <c:formatCode>#,##0</c:formatCode>
                <c:ptCount val="3"/>
                <c:pt idx="0">
                  <c:v>275</c:v>
                </c:pt>
                <c:pt idx="1">
                  <c:v>265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26-4C6C-93D1-77E521B2A859}"/>
            </c:ext>
          </c:extLst>
        </c:ser>
        <c:ser>
          <c:idx val="1"/>
          <c:order val="1"/>
          <c:tx>
            <c:strRef>
              <c:f>'MSI Report'!$H$67</c:f>
              <c:strCache>
                <c:ptCount val="1"/>
                <c:pt idx="0">
                  <c:v>Week 2 (8-14 July)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'MSI Report'!$I$65:$K$65</c:f>
              <c:strCache>
                <c:ptCount val="3"/>
                <c:pt idx="0">
                  <c:v>Visited</c:v>
                </c:pt>
                <c:pt idx="1">
                  <c:v>Closed</c:v>
                </c:pt>
                <c:pt idx="2">
                  <c:v>WIP</c:v>
                </c:pt>
              </c:strCache>
            </c:strRef>
          </c:cat>
          <c:val>
            <c:numRef>
              <c:f>'MSI Report'!$I$67:$K$67</c:f>
              <c:numCache>
                <c:formatCode>#,##0</c:formatCode>
                <c:ptCount val="3"/>
                <c:pt idx="0">
                  <c:v>108</c:v>
                </c:pt>
                <c:pt idx="1">
                  <c:v>106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26-4C6C-93D1-77E521B2A859}"/>
            </c:ext>
          </c:extLst>
        </c:ser>
        <c:ser>
          <c:idx val="2"/>
          <c:order val="2"/>
          <c:tx>
            <c:strRef>
              <c:f>'MSI Report'!$H$68</c:f>
              <c:strCache>
                <c:ptCount val="1"/>
                <c:pt idx="0">
                  <c:v>Week 3 (15-21 July)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'MSI Report'!$I$65:$K$65</c:f>
              <c:strCache>
                <c:ptCount val="3"/>
                <c:pt idx="0">
                  <c:v>Visited</c:v>
                </c:pt>
                <c:pt idx="1">
                  <c:v>Closed</c:v>
                </c:pt>
                <c:pt idx="2">
                  <c:v>WIP</c:v>
                </c:pt>
              </c:strCache>
            </c:strRef>
          </c:cat>
          <c:val>
            <c:numRef>
              <c:f>'MSI Report'!$I$68:$K$68</c:f>
              <c:numCache>
                <c:formatCode>#,##0</c:formatCode>
                <c:ptCount val="3"/>
                <c:pt idx="0">
                  <c:v>123</c:v>
                </c:pt>
                <c:pt idx="1">
                  <c:v>206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26-4C6C-93D1-77E521B2A859}"/>
            </c:ext>
          </c:extLst>
        </c:ser>
        <c:ser>
          <c:idx val="3"/>
          <c:order val="3"/>
          <c:tx>
            <c:strRef>
              <c:f>'MSI Report'!$H$69</c:f>
              <c:strCache>
                <c:ptCount val="1"/>
                <c:pt idx="0">
                  <c:v>Week 4 (22-31 July)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'MSI Report'!$I$65:$K$65</c:f>
              <c:strCache>
                <c:ptCount val="3"/>
                <c:pt idx="0">
                  <c:v>Visited</c:v>
                </c:pt>
                <c:pt idx="1">
                  <c:v>Closed</c:v>
                </c:pt>
                <c:pt idx="2">
                  <c:v>WIP</c:v>
                </c:pt>
              </c:strCache>
            </c:strRef>
          </c:cat>
          <c:val>
            <c:numRef>
              <c:f>'MSI Report'!$I$69:$K$69</c:f>
              <c:numCache>
                <c:formatCode>#,##0</c:formatCode>
                <c:ptCount val="3"/>
                <c:pt idx="0">
                  <c:v>288</c:v>
                </c:pt>
                <c:pt idx="1">
                  <c:v>281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26-4C6C-93D1-77E521B2A85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82777312"/>
        <c:axId val="1456727792"/>
      </c:barChart>
      <c:catAx>
        <c:axId val="28277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727792"/>
        <c:crosses val="autoZero"/>
        <c:auto val="1"/>
        <c:lblAlgn val="ctr"/>
        <c:lblOffset val="100"/>
        <c:noMultiLvlLbl val="0"/>
      </c:catAx>
      <c:valAx>
        <c:axId val="145672779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28277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222249</xdr:colOff>
      <xdr:row>8</xdr:row>
      <xdr:rowOff>0</xdr:rowOff>
    </xdr:from>
    <xdr:to>
      <xdr:col>17</xdr:col>
      <xdr:colOff>340178</xdr:colOff>
      <xdr:row>21</xdr:row>
      <xdr:rowOff>9072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8823F56-B114-42D7-9177-7E5EE04015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23</xdr:row>
      <xdr:rowOff>-1</xdr:rowOff>
    </xdr:from>
    <xdr:to>
      <xdr:col>6</xdr:col>
      <xdr:colOff>119063</xdr:colOff>
      <xdr:row>38</xdr:row>
      <xdr:rowOff>7936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5370DB8-0A30-4B62-A7C9-9D4888848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523875</xdr:colOff>
      <xdr:row>23</xdr:row>
      <xdr:rowOff>7938</xdr:rowOff>
    </xdr:from>
    <xdr:to>
      <xdr:col>11</xdr:col>
      <xdr:colOff>841375</xdr:colOff>
      <xdr:row>37</xdr:row>
      <xdr:rowOff>325437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D962F51-EE9F-480E-9AFE-597E4C443D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158750</xdr:colOff>
      <xdr:row>23</xdr:row>
      <xdr:rowOff>0</xdr:rowOff>
    </xdr:from>
    <xdr:to>
      <xdr:col>17</xdr:col>
      <xdr:colOff>285750</xdr:colOff>
      <xdr:row>37</xdr:row>
      <xdr:rowOff>301625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CB52379-4AB1-4B15-92E9-9A961D26C3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142875</xdr:colOff>
      <xdr:row>40</xdr:row>
      <xdr:rowOff>39687</xdr:rowOff>
    </xdr:from>
    <xdr:to>
      <xdr:col>6</xdr:col>
      <xdr:colOff>690563</xdr:colOff>
      <xdr:row>53</xdr:row>
      <xdr:rowOff>127000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373C64C-EC45-4757-ADBE-469DEC9BA3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190500</xdr:colOff>
      <xdr:row>58</xdr:row>
      <xdr:rowOff>71438</xdr:rowOff>
    </xdr:from>
    <xdr:to>
      <xdr:col>6</xdr:col>
      <xdr:colOff>666750</xdr:colOff>
      <xdr:row>73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7B92835-59AD-4ED8-8F9F-157375653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349249</xdr:colOff>
      <xdr:row>58</xdr:row>
      <xdr:rowOff>55563</xdr:rowOff>
    </xdr:from>
    <xdr:to>
      <xdr:col>16</xdr:col>
      <xdr:colOff>817562</xdr:colOff>
      <xdr:row>73</xdr:row>
      <xdr:rowOff>60325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D36BAF0-A7D3-452E-90BD-39A417B4C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881062</xdr:colOff>
      <xdr:row>40</xdr:row>
      <xdr:rowOff>111124</xdr:rowOff>
    </xdr:from>
    <xdr:to>
      <xdr:col>17</xdr:col>
      <xdr:colOff>420688</xdr:colOff>
      <xdr:row>55</xdr:row>
      <xdr:rowOff>166687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62AB02F-8DBE-436E-B224-E163C57C2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C28259-2825-4D1C-859A-15406BF8204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a7ff0e6-0005-4e49-b874-4d32b7e75c6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../../../:f:/g/personal/soubhagya_swain_premierenergies_com/IgAyfyMAIZqzSJnZX-omWt21AUjdung9Ens0hSpQvaGsxO4%3fe=QWMY5f" TargetMode="External"/><Relationship Id="rId18" Type="http://schemas.openxmlformats.org/officeDocument/2006/relationships/hyperlink" Target="../../../:f:/g/personal/soubhagya_swain_premierenergies_com/IgCXGOklEPVQQpKiWq7NtrOkAdddDDJTnOEbobBlDIMqAL0%3fe=P9Tpqt" TargetMode="External"/><Relationship Id="rId26" Type="http://schemas.openxmlformats.org/officeDocument/2006/relationships/hyperlink" Target="../../../:f:/g/personal/soubhagya_swain_premierenergies_com/IgAyfyMAIZqzSJnZX-omWt21AUjdung9Ens0hSpQvaGsxO4%3fe=QWMY5f" TargetMode="External"/><Relationship Id="rId39" Type="http://schemas.openxmlformats.org/officeDocument/2006/relationships/hyperlink" Target="../../../:f:/g/personal/soubhagya_swain_premierenergies_com/IgAyfyMAIZqzSJnZX-omWt21AUjdung9Ens0hSpQvaGsxO4%3fe=QWMY5f" TargetMode="External"/><Relationship Id="rId21" Type="http://schemas.openxmlformats.org/officeDocument/2006/relationships/hyperlink" Target="../../../:f:/g/personal/soubhagya_swain_premierenergies_com/IgAyfyMAIZqzSJnZX-omWt21AUjdung9Ens0hSpQvaGsxO4%3fe=QWMY5f" TargetMode="External"/><Relationship Id="rId34" Type="http://schemas.openxmlformats.org/officeDocument/2006/relationships/hyperlink" Target="../../../:f:/g/personal/soubhagya_swain_premierenergies_com/IgDa_t0l87mERqQzpEeI4bxRARMwE-tw7eN8oibuiGJp0xs%3fe=ktiY1h" TargetMode="External"/><Relationship Id="rId42" Type="http://schemas.openxmlformats.org/officeDocument/2006/relationships/hyperlink" Target="../../../:f:/g/personal/soubhagya_swain_premierenergies_com/IgDyfBQRyS_mQ6mK-__B13mgAX-d0GNiB8QXF-Bxaxee688%3fe=lQx1zQ" TargetMode="External"/><Relationship Id="rId47" Type="http://schemas.openxmlformats.org/officeDocument/2006/relationships/hyperlink" Target="../../../:f:/g/personal/soubhagya_swain_premierenergies_com/IgDx9fgjPpdvSZ3ofedB6wjKAe3uTj9fmQqecgcKt6cqqgc%3fe=bQk8Hu" TargetMode="External"/><Relationship Id="rId50" Type="http://schemas.openxmlformats.org/officeDocument/2006/relationships/hyperlink" Target="../../../:f:/g/personal/soubhagya_swain_premierenergies_com/IgAyfyMAIZqzSJnZX-omWt21AUjdung9Ens0hSpQvaGsxO4%3fe=QWMY5f" TargetMode="External"/><Relationship Id="rId55" Type="http://schemas.openxmlformats.org/officeDocument/2006/relationships/hyperlink" Target="../../../:f:/g/personal/soubhagya_swain_premierenergies_com/IgCZ0Zv_91_STpMnz0v25zuaAbsh4WwT2j3xCBm8yhU1UwY%3fe=17Y0hN" TargetMode="External"/><Relationship Id="rId7" Type="http://schemas.openxmlformats.org/officeDocument/2006/relationships/hyperlink" Target="../../../:f:/g/personal/soubhagya_swain_premierenergies_com/IgAyfyMAIZqzSJnZX-omWt21AUjdung9Ens0hSpQvaGsxO4%3fe=QWMY5f" TargetMode="External"/><Relationship Id="rId2" Type="http://schemas.openxmlformats.org/officeDocument/2006/relationships/hyperlink" Target="../../../:f:/g/personal/soubhagya_swain_premierenergies_com/IgCCYr0VNoMlTbOr3ydOAnBmAeKU4BMKLqEK6RN3RPRmgfY%3fe=TXc3wo" TargetMode="External"/><Relationship Id="rId16" Type="http://schemas.openxmlformats.org/officeDocument/2006/relationships/hyperlink" Target="../../../:f:/g/personal/soubhagya_swain_premierenergies_com/IgDjprIkocyYRq6UunQE9V9TAXdNtPq6Ei7TCeKPJPBtYZg%3fe=rL8nW9" TargetMode="External"/><Relationship Id="rId29" Type="http://schemas.openxmlformats.org/officeDocument/2006/relationships/hyperlink" Target="../../../:f:/g/personal/soubhagya_swain_premierenergies_com/IgBJnVsz5Vn8T7nepPviV_zDAUVlcDNpwb3-My7z1HHz77o%3fe=EN5Mot" TargetMode="External"/><Relationship Id="rId11" Type="http://schemas.openxmlformats.org/officeDocument/2006/relationships/hyperlink" Target="../../../:f:/g/personal/soubhagya_swain_premierenergies_com/IgCCYr0VNoMlTbOr3ydOAnBmAeKU4BMKLqEK6RN3RPRmgfY%3fe=TXc3wo" TargetMode="External"/><Relationship Id="rId24" Type="http://schemas.openxmlformats.org/officeDocument/2006/relationships/hyperlink" Target="../../../:f:/g/personal/soubhagya_swain_premierenergies_com/IgA_mGVOvcUHRb2Z39FNHnBUAQL4yRx7O_YIv3FdRDvIfcM%3fe=2mAhIs" TargetMode="External"/><Relationship Id="rId32" Type="http://schemas.openxmlformats.org/officeDocument/2006/relationships/hyperlink" Target="../../../:f:/g/personal/soubhagya_swain_premierenergies_com/IgDzqbhvdyvYTZjx54e3x7MwAansNfQPwmhvxPqKDxy0TLc%3fe=3Vw3Fl" TargetMode="External"/><Relationship Id="rId37" Type="http://schemas.openxmlformats.org/officeDocument/2006/relationships/hyperlink" Target="../../../:f:/g/personal/soubhagya_swain_premierenergies_com/IgAyfyMAIZqzSJnZX-omWt21AUjdung9Ens0hSpQvaGsxO4%3fe=QWMY5f" TargetMode="External"/><Relationship Id="rId40" Type="http://schemas.openxmlformats.org/officeDocument/2006/relationships/hyperlink" Target="../../../:f:/g/personal/soubhagya_swain_premierenergies_com/IgAyfyMAIZqzSJnZX-omWt21AUjdung9Ens0hSpQvaGsxO4%3fe=QWMY5f" TargetMode="External"/><Relationship Id="rId45" Type="http://schemas.openxmlformats.org/officeDocument/2006/relationships/hyperlink" Target="../../../:f:/g/personal/soubhagya_swain_premierenergies_com/IgAyfyMAIZqzSJnZX-omWt21AUjdung9Ens0hSpQvaGsxO4%3fe=QWMY5f" TargetMode="External"/><Relationship Id="rId53" Type="http://schemas.openxmlformats.org/officeDocument/2006/relationships/hyperlink" Target="../../../:f:/g/personal/soubhagya_swain_premierenergies_com/IgBOG-weH6E2R7bBOT8M-m7WAcNaQ1FRZCltWyA0wpWdLe8%3fe=0mXOnB" TargetMode="External"/><Relationship Id="rId5" Type="http://schemas.openxmlformats.org/officeDocument/2006/relationships/hyperlink" Target="../../../:f:/g/personal/soubhagya_swain_premierenergies_com/IgAyfyMAIZqzSJnZX-omWt21AUjdung9Ens0hSpQvaGsxO4%3fe=QWMY5f" TargetMode="External"/><Relationship Id="rId19" Type="http://schemas.openxmlformats.org/officeDocument/2006/relationships/hyperlink" Target="../../../:f:/g/personal/soubhagya_swain_premierenergies_com/IgCoV6Eml7S5SLHBOZ-kZS1EAZdz17p0Wt2b04E5PdpaTQI%3fe=9shBah" TargetMode="External"/><Relationship Id="rId4" Type="http://schemas.openxmlformats.org/officeDocument/2006/relationships/hyperlink" Target="../../../:f:/g/personal/soubhagya_swain_premierenergies_com/IgCCYr0VNoMlTbOr3ydOAnBmAeKU4BMKLqEK6RN3RPRmgfY%3fe=TXc3wo" TargetMode="External"/><Relationship Id="rId9" Type="http://schemas.openxmlformats.org/officeDocument/2006/relationships/hyperlink" Target="../../../:f:/g/personal/soubhagya_swain_premierenergies_com/IgCCYr0VNoMlTbOr3ydOAnBmAeKU4BMKLqEK6RN3RPRmgfY%3fe=TXc3wo" TargetMode="External"/><Relationship Id="rId14" Type="http://schemas.openxmlformats.org/officeDocument/2006/relationships/hyperlink" Target="../../../:f:/g/personal/soubhagya_swain_premierenergies_com/IgCkboAzoen4QI5Ai8jVhl54AX1KcXADr7zA66xtKu5jqxw%3fe=aUeXYy" TargetMode="External"/><Relationship Id="rId22" Type="http://schemas.openxmlformats.org/officeDocument/2006/relationships/hyperlink" Target="../../../:f:/g/personal/soubhagya_swain_premierenergies_com/IgAyfyMAIZqzSJnZX-omWt21AUjdung9Ens0hSpQvaGsxO4%3fe=QWMY5f" TargetMode="External"/><Relationship Id="rId27" Type="http://schemas.openxmlformats.org/officeDocument/2006/relationships/hyperlink" Target="../../../:f:/g/personal/soubhagya_swain_premierenergies_com/IgAyfyMAIZqzSJnZX-omWt21AUjdung9Ens0hSpQvaGsxO4%3fe=QWMY5f" TargetMode="External"/><Relationship Id="rId30" Type="http://schemas.openxmlformats.org/officeDocument/2006/relationships/hyperlink" Target="../../../:f:/g/personal/soubhagya_swain_premierenergies_com/IgCikXDUDHkWSazzj5N4PTutAYf6RZSr5FODRPnA8XHrPXc%3fe=8FcCLP" TargetMode="External"/><Relationship Id="rId35" Type="http://schemas.openxmlformats.org/officeDocument/2006/relationships/hyperlink" Target="../../../:f:/g/personal/soubhagya_swain_premierenergies_com/IgA0Bwh3drJQR7yJtspFC2MoAaS9WPSVEN8lIcK_GYy1m1g%3fe=gG2iVI" TargetMode="External"/><Relationship Id="rId43" Type="http://schemas.openxmlformats.org/officeDocument/2006/relationships/hyperlink" Target="../../../:f:/g/personal/soubhagya_swain_premierenergies_com/IgBwKcYKS90KTYmclDZeRU74AbLMZVvlGKwQFozP8l4k_ag%3fe=BIyB10" TargetMode="External"/><Relationship Id="rId48" Type="http://schemas.openxmlformats.org/officeDocument/2006/relationships/hyperlink" Target="../../../:f:/g/personal/soubhagya_swain_premierenergies_com/IgAlFZ_IWtsURIN-jBeRSXqTARcFSTxAhSN5RJiXLiOnNAE%3fe=tLZ7u8" TargetMode="External"/><Relationship Id="rId56" Type="http://schemas.openxmlformats.org/officeDocument/2006/relationships/hyperlink" Target="../../../:f:/g/personal/soubhagya_swain_premierenergies_com/IgCkboAzoen4QI5Ai8jVhl54AX1KcXADr7zA66xtKu5jqxw%3fe=aUeXYy" TargetMode="External"/><Relationship Id="rId8" Type="http://schemas.openxmlformats.org/officeDocument/2006/relationships/hyperlink" Target="../../../:f:/g/personal/soubhagya_swain_premierenergies_com/IgCCYr0VNoMlTbOr3ydOAnBmAeKU4BMKLqEK6RN3RPRmgfY%3fe=TXc3wo" TargetMode="External"/><Relationship Id="rId51" Type="http://schemas.openxmlformats.org/officeDocument/2006/relationships/hyperlink" Target="../../../:f:/g/personal/soubhagya_swain_premierenergies_com/IgBVXU9akIe5Sqzj1py6ZXmMATqpo2p0cu3Ih6Eh6dLza90%3fe=8vD1L8" TargetMode="External"/><Relationship Id="rId3" Type="http://schemas.openxmlformats.org/officeDocument/2006/relationships/hyperlink" Target="../../../:f:/g/personal/soubhagya_swain_premierenergies_com/IgAyfyMAIZqzSJnZX-omWt21AUjdung9Ens0hSpQvaGsxO4%3fe=QWMY5f" TargetMode="External"/><Relationship Id="rId12" Type="http://schemas.openxmlformats.org/officeDocument/2006/relationships/hyperlink" Target="../../../:f:/g/personal/soubhagya_swain_premierenergies_com/IgCCYr0VNoMlTbOr3ydOAnBmAeKU4BMKLqEK6RN3RPRmgfY%3fe=TXc3wo" TargetMode="External"/><Relationship Id="rId17" Type="http://schemas.openxmlformats.org/officeDocument/2006/relationships/hyperlink" Target="../../../:f:/g/personal/soubhagya_swain_premierenergies_com/IgDIdU7CxobCTrblri4foXw6ATNRU6q-I56asx6Q0SZtE3s%3fe=xQEeI8" TargetMode="External"/><Relationship Id="rId25" Type="http://schemas.openxmlformats.org/officeDocument/2006/relationships/hyperlink" Target="../../../:f:/g/personal/soubhagya_swain_premierenergies_com/IgAYGGJM6TdySoZGVTW2kWOvAZUGKpiExtWOiLBNlBcRUzc%3fe=xpG62x" TargetMode="External"/><Relationship Id="rId33" Type="http://schemas.openxmlformats.org/officeDocument/2006/relationships/hyperlink" Target="../../../:f:/g/personal/soubhagya_swain_premierenergies_com/IgAyfyMAIZqzSJnZX-omWt21AUjdung9Ens0hSpQvaGsxO4%3fe=QWMY5f" TargetMode="External"/><Relationship Id="rId38" Type="http://schemas.openxmlformats.org/officeDocument/2006/relationships/hyperlink" Target="../../../:f:/g/personal/soubhagya_swain_premierenergies_com/IgAyfyMAIZqzSJnZX-omWt21AUjdung9Ens0hSpQvaGsxO4%3fe=QWMY5f" TargetMode="External"/><Relationship Id="rId46" Type="http://schemas.openxmlformats.org/officeDocument/2006/relationships/hyperlink" Target="../../../:f:/g/personal/soubhagya_swain_premierenergies_com/IgAyfyMAIZqzSJnZX-omWt21AUjdung9Ens0hSpQvaGsxO4%3fe=QWMY5f" TargetMode="External"/><Relationship Id="rId20" Type="http://schemas.openxmlformats.org/officeDocument/2006/relationships/hyperlink" Target="../../../:f:/g/personal/soubhagya_swain_premierenergies_com/IgCmcZVCSqpwQ46YWI6-ts_sAd9rl7mVoVpLBBM5xBtodN4%3fe=Nhv9Bp" TargetMode="External"/><Relationship Id="rId41" Type="http://schemas.openxmlformats.org/officeDocument/2006/relationships/hyperlink" Target="../../../:f:/g/personal/soubhagya_swain_premierenergies_com/IgAyfyMAIZqzSJnZX-omWt21AUjdung9Ens0hSpQvaGsxO4%3fe=QWMY5f" TargetMode="External"/><Relationship Id="rId54" Type="http://schemas.openxmlformats.org/officeDocument/2006/relationships/hyperlink" Target="../../../:f:/g/personal/soubhagya_swain_premierenergies_com/IgAyfyMAIZqzSJnZX-omWt21AUjdung9Ens0hSpQvaGsxO4%3fe=QWMY5f" TargetMode="External"/><Relationship Id="rId1" Type="http://schemas.openxmlformats.org/officeDocument/2006/relationships/hyperlink" Target="../../../:f:/g/personal/soubhagya_swain_premierenergies_com/IgChHhpehwTJTJoBRZ9lIu3XAWJ-I3Q1wBx46uTsVSH3HXY%3fe=GgBf4m" TargetMode="External"/><Relationship Id="rId6" Type="http://schemas.openxmlformats.org/officeDocument/2006/relationships/hyperlink" Target="../../../:f:/g/personal/soubhagya_swain_premierenergies_com/IgCCYr0VNoMlTbOr3ydOAnBmAeKU4BMKLqEK6RN3RPRmgfY%3fe=TXc3wo" TargetMode="External"/><Relationship Id="rId15" Type="http://schemas.openxmlformats.org/officeDocument/2006/relationships/hyperlink" Target="../../../:f:/g/personal/soubhagya_swain_premierenergies_com/IgAyfyMAIZqzSJnZX-omWt21AUjdung9Ens0hSpQvaGsxO4%3fe=QWMY5f" TargetMode="External"/><Relationship Id="rId23" Type="http://schemas.openxmlformats.org/officeDocument/2006/relationships/hyperlink" Target="../../../:f:/g/personal/soubhagya_swain_premierenergies_com/IgCCLteiUWZlTb50ex60s7a3AXExLKgP3jqIEr6ojQXBR8I%3fe=BVvuu1" TargetMode="External"/><Relationship Id="rId28" Type="http://schemas.openxmlformats.org/officeDocument/2006/relationships/hyperlink" Target="../../../:f:/g/personal/soubhagya_swain_premierenergies_com/IgAhFCIF6pkuSKIyb1c6W-1gAS4FLbnCo-dn-I1YwpVqibQ%3fe=2eur5T" TargetMode="External"/><Relationship Id="rId36" Type="http://schemas.openxmlformats.org/officeDocument/2006/relationships/hyperlink" Target="../../../:f:/g/personal/soubhagya_swain_premierenergies_com/IgCYjXE-tQZZRYSiA85XEuVwAb5nNb3Z5vUAxqgUqD2Zt94%3fe=30DBAu" TargetMode="External"/><Relationship Id="rId49" Type="http://schemas.openxmlformats.org/officeDocument/2006/relationships/hyperlink" Target="../../../:f:/g/personal/soubhagya_swain_premierenergies_com/IgBbaXE2_lh9QJTLvXfsD3XrAeWGcGVwu8VQ2xWuhFXv_DA%3fe=Ztx94j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../../../:f:/g/personal/soubhagya_swain_premierenergies_com/IgCCYr0VNoMlTbOr3ydOAnBmAeKU4BMKLqEK6RN3RPRmgfY%3fe=TXc3wo" TargetMode="External"/><Relationship Id="rId31" Type="http://schemas.openxmlformats.org/officeDocument/2006/relationships/hyperlink" Target="../../../:f:/g/personal/soubhagya_swain_premierenergies_com/IgAyfyMAIZqzSJnZX-omWt21AUjdung9Ens0hSpQvaGsxO4%3fe=QWMY5f" TargetMode="External"/><Relationship Id="rId44" Type="http://schemas.openxmlformats.org/officeDocument/2006/relationships/hyperlink" Target="../../../:f:/g/personal/soubhagya_swain_premierenergies_com/IgBtnWM3CMsQQ6opE_D1Sw2cAQLLkwFLkOLpw5Lj4NrlHUU%3fe=aJVzNs" TargetMode="External"/><Relationship Id="rId52" Type="http://schemas.openxmlformats.org/officeDocument/2006/relationships/hyperlink" Target="../../../:f:/g/personal/soubhagya_swain_premierenergies_com/IgAyfyMAIZqzSJnZX-omWt21AUjdung9Ens0hSpQvaGsxO4%3fe=QWMY5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76D0B-8F58-4260-B014-825EC5FB804F}">
  <sheetPr>
    <tabColor theme="2"/>
  </sheetPr>
  <dimension ref="A1:Z80"/>
  <sheetViews>
    <sheetView showGridLines="0" zoomScale="56" zoomScaleNormal="56" workbookViewId="0">
      <selection activeCell="H6" sqref="H6:I6"/>
    </sheetView>
  </sheetViews>
  <sheetFormatPr defaultRowHeight="18.5" outlineLevelCol="1"/>
  <cols>
    <col min="1" max="1" width="3.6328125" customWidth="1"/>
    <col min="2" max="19" width="12.7265625" customWidth="1"/>
    <col min="20" max="20" width="12.90625" customWidth="1"/>
    <col min="21" max="21" width="26.54296875" style="153" customWidth="1" outlineLevel="1"/>
    <col min="22" max="22" width="17.90625" style="153" customWidth="1" outlineLevel="1"/>
    <col min="23" max="23" width="8.984375E-2" style="144" customWidth="1" outlineLevel="1"/>
    <col min="24" max="24" width="24.7265625" customWidth="1"/>
    <col min="25" max="25" width="8.984375E-2" customWidth="1"/>
    <col min="26" max="26" width="28.54296875" customWidth="1"/>
  </cols>
  <sheetData>
    <row r="1" spans="1:26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U1" s="152" t="s">
        <v>1167</v>
      </c>
      <c r="X1" s="136"/>
      <c r="Y1" s="136"/>
      <c r="Z1" s="136"/>
    </row>
    <row r="2" spans="1:26" ht="42" customHeight="1">
      <c r="A2" s="134"/>
      <c r="B2" s="168" t="s">
        <v>1168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34"/>
      <c r="T2" s="137"/>
      <c r="X2" s="136"/>
      <c r="Y2" s="136"/>
      <c r="Z2" s="136"/>
    </row>
    <row r="3" spans="1:26" ht="22" customHeight="1">
      <c r="A3" s="134"/>
      <c r="B3" s="169" t="s">
        <v>1194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34"/>
      <c r="T3" s="138"/>
      <c r="U3" s="153" t="s">
        <v>2</v>
      </c>
      <c r="V3" s="153" t="s">
        <v>1131</v>
      </c>
      <c r="W3" s="144" t="s">
        <v>1140</v>
      </c>
      <c r="X3" s="136" t="s">
        <v>1131</v>
      </c>
      <c r="Y3" s="136"/>
      <c r="Z3" s="136"/>
    </row>
    <row r="4" spans="1:26">
      <c r="A4" s="134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8"/>
      <c r="U4" s="153" t="s">
        <v>1169</v>
      </c>
      <c r="V4" s="153">
        <v>1845</v>
      </c>
      <c r="W4" s="144" t="s">
        <v>1170</v>
      </c>
      <c r="X4" s="136">
        <v>1</v>
      </c>
      <c r="Y4" s="136"/>
      <c r="Z4" s="136"/>
    </row>
    <row r="5" spans="1:26" ht="20" customHeight="1">
      <c r="A5" s="134"/>
      <c r="B5" s="170" t="s">
        <v>1115</v>
      </c>
      <c r="C5" s="171"/>
      <c r="D5" s="134"/>
      <c r="E5" s="170" t="s">
        <v>1123</v>
      </c>
      <c r="F5" s="171"/>
      <c r="G5" s="134"/>
      <c r="H5" s="170" t="s">
        <v>1116</v>
      </c>
      <c r="I5" s="171"/>
      <c r="J5" s="134"/>
      <c r="K5" s="170" t="s">
        <v>1118</v>
      </c>
      <c r="L5" s="171"/>
      <c r="M5" s="134"/>
      <c r="N5" s="170" t="s">
        <v>1171</v>
      </c>
      <c r="O5" s="171"/>
      <c r="P5" s="134"/>
      <c r="Q5" s="134"/>
      <c r="R5" s="134"/>
      <c r="S5" s="134"/>
      <c r="T5" s="138"/>
      <c r="U5" s="153" t="s">
        <v>26</v>
      </c>
      <c r="V5" s="153">
        <v>834</v>
      </c>
      <c r="W5" s="144" t="s">
        <v>1172</v>
      </c>
      <c r="X5" s="136">
        <v>1604</v>
      </c>
      <c r="Y5" s="136"/>
      <c r="Z5" s="136"/>
    </row>
    <row r="6" spans="1:26" ht="40" customHeight="1">
      <c r="A6" s="134"/>
      <c r="B6" s="158">
        <f>'MSI Report'!B10</f>
        <v>881</v>
      </c>
      <c r="C6" s="159"/>
      <c r="D6" s="134"/>
      <c r="E6" s="160">
        <f>'MSI Report'!B11</f>
        <v>858</v>
      </c>
      <c r="F6" s="161"/>
      <c r="G6" s="134"/>
      <c r="H6" s="162">
        <f>'MSI Report'!B12</f>
        <v>23</v>
      </c>
      <c r="I6" s="163"/>
      <c r="J6" s="134"/>
      <c r="K6" s="164">
        <f>'MSI Report'!D10</f>
        <v>0.97389330306469923</v>
      </c>
      <c r="L6" s="165"/>
      <c r="M6" s="134"/>
      <c r="N6" s="166">
        <f>'MSI Report'!G6</f>
        <v>64.099999999999994</v>
      </c>
      <c r="O6" s="167"/>
      <c r="P6" s="134"/>
      <c r="Q6" s="134"/>
      <c r="R6" s="134"/>
      <c r="S6" s="134"/>
      <c r="T6" s="138"/>
      <c r="U6" s="153" t="s">
        <v>1173</v>
      </c>
      <c r="V6" s="153">
        <v>596</v>
      </c>
      <c r="W6" s="144" t="s">
        <v>1174</v>
      </c>
      <c r="X6" s="136">
        <v>1351</v>
      </c>
      <c r="Y6" s="136"/>
      <c r="Z6" s="136"/>
    </row>
    <row r="7" spans="1:26" ht="8" customHeight="1">
      <c r="A7" s="134"/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8"/>
      <c r="U7" s="153" t="s">
        <v>21</v>
      </c>
      <c r="V7" s="153">
        <v>367</v>
      </c>
      <c r="X7" s="136"/>
      <c r="Y7" s="136"/>
      <c r="Z7" s="136"/>
    </row>
    <row r="8" spans="1:26">
      <c r="A8" s="134"/>
      <c r="B8" s="139" t="s">
        <v>1192</v>
      </c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8"/>
      <c r="U8" s="153" t="s">
        <v>1175</v>
      </c>
      <c r="V8" s="153">
        <v>197</v>
      </c>
      <c r="X8" s="136"/>
      <c r="Y8" s="136"/>
      <c r="Z8" s="136"/>
    </row>
    <row r="9" spans="1:26">
      <c r="A9" s="134"/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8"/>
      <c r="U9" s="153" t="s">
        <v>1176</v>
      </c>
      <c r="V9" s="153">
        <v>59</v>
      </c>
      <c r="X9" s="136"/>
      <c r="Y9" s="136"/>
      <c r="Z9" s="136"/>
    </row>
    <row r="10" spans="1:26">
      <c r="A10" s="134"/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8"/>
      <c r="U10" s="153" t="s">
        <v>1177</v>
      </c>
      <c r="V10" s="153">
        <v>37</v>
      </c>
      <c r="X10" s="136"/>
      <c r="Y10" s="136"/>
      <c r="Z10" s="136"/>
    </row>
    <row r="11" spans="1:26">
      <c r="A11" s="134"/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8"/>
      <c r="U11" s="153" t="s">
        <v>1178</v>
      </c>
      <c r="V11" s="153">
        <v>32</v>
      </c>
      <c r="X11" s="136"/>
      <c r="Y11" s="136"/>
      <c r="Z11" s="136"/>
    </row>
    <row r="12" spans="1:26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8"/>
      <c r="U12" s="153" t="s">
        <v>4</v>
      </c>
      <c r="V12" s="153" t="s">
        <v>1131</v>
      </c>
      <c r="W12" s="144" t="s">
        <v>1179</v>
      </c>
      <c r="X12" s="136" t="s">
        <v>129</v>
      </c>
      <c r="Y12" s="135" t="s">
        <v>464</v>
      </c>
      <c r="Z12" s="135" t="s">
        <v>140</v>
      </c>
    </row>
    <row r="13" spans="1:26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8"/>
      <c r="U13" s="153" t="s">
        <v>23</v>
      </c>
      <c r="V13" s="153">
        <v>1688</v>
      </c>
      <c r="W13" s="144" t="s">
        <v>138</v>
      </c>
      <c r="X13" s="136">
        <v>2182</v>
      </c>
      <c r="Y13" s="136">
        <v>250</v>
      </c>
      <c r="Z13" s="135">
        <v>82</v>
      </c>
    </row>
    <row r="14" spans="1:26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8"/>
      <c r="U14" s="153" t="s">
        <v>95</v>
      </c>
      <c r="V14" s="153">
        <v>688</v>
      </c>
      <c r="W14" s="144" t="s">
        <v>127</v>
      </c>
      <c r="X14" s="136">
        <v>215</v>
      </c>
      <c r="Y14" s="136">
        <v>67</v>
      </c>
      <c r="Z14" s="135">
        <v>31</v>
      </c>
    </row>
    <row r="15" spans="1:26">
      <c r="A15" s="134"/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8"/>
      <c r="U15" s="153" t="s">
        <v>1133</v>
      </c>
      <c r="V15" s="153">
        <v>502</v>
      </c>
      <c r="W15" s="144" t="s">
        <v>1180</v>
      </c>
      <c r="X15" s="136">
        <v>110</v>
      </c>
      <c r="Y15" s="136">
        <v>11</v>
      </c>
      <c r="Z15" s="135">
        <v>12</v>
      </c>
    </row>
    <row r="16" spans="1:26">
      <c r="A16" s="134"/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8"/>
      <c r="U16" s="153" t="s">
        <v>1181</v>
      </c>
      <c r="V16" s="153">
        <v>192</v>
      </c>
      <c r="W16" s="144" t="s">
        <v>1151</v>
      </c>
      <c r="X16" s="136">
        <v>18</v>
      </c>
      <c r="Y16" s="136">
        <v>17</v>
      </c>
      <c r="Z16" s="135">
        <v>0</v>
      </c>
    </row>
    <row r="17" spans="1:26">
      <c r="A17" s="134"/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8"/>
      <c r="U17" s="153" t="s">
        <v>1182</v>
      </c>
      <c r="V17" s="153">
        <v>32</v>
      </c>
      <c r="W17" s="144" t="s">
        <v>773</v>
      </c>
      <c r="X17" s="136">
        <v>4</v>
      </c>
      <c r="Y17" s="136">
        <v>1</v>
      </c>
      <c r="Z17" s="135">
        <v>3</v>
      </c>
    </row>
    <row r="18" spans="1:26">
      <c r="A18" s="134"/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8"/>
      <c r="U18" s="153" t="s">
        <v>16</v>
      </c>
      <c r="V18" s="153">
        <v>21</v>
      </c>
      <c r="W18" s="144" t="s">
        <v>312</v>
      </c>
      <c r="X18" s="136">
        <v>1</v>
      </c>
      <c r="Y18" s="136">
        <v>0</v>
      </c>
      <c r="Z18" s="135">
        <v>0</v>
      </c>
    </row>
    <row r="19" spans="1:26">
      <c r="A19" s="134"/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8"/>
      <c r="U19" s="153" t="s">
        <v>35</v>
      </c>
      <c r="V19" s="153">
        <v>6</v>
      </c>
      <c r="X19" s="136"/>
      <c r="Y19" s="136"/>
      <c r="Z19" s="136"/>
    </row>
    <row r="20" spans="1:26">
      <c r="A20" s="134"/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8"/>
      <c r="U20" s="153" t="s">
        <v>1183</v>
      </c>
      <c r="V20" s="153">
        <v>1</v>
      </c>
      <c r="X20" s="136"/>
      <c r="Y20" s="136"/>
      <c r="Z20" s="136"/>
    </row>
    <row r="21" spans="1:26">
      <c r="A21" s="134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8"/>
      <c r="X21" s="136"/>
      <c r="Y21" s="136"/>
      <c r="Z21" s="136"/>
    </row>
    <row r="22" spans="1:26">
      <c r="A22" s="134"/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8"/>
      <c r="U22" s="152" t="s">
        <v>1179</v>
      </c>
      <c r="V22" s="152" t="s">
        <v>1184</v>
      </c>
      <c r="X22" s="136"/>
      <c r="Y22" s="136"/>
      <c r="Z22" s="136"/>
    </row>
    <row r="23" spans="1:26">
      <c r="A23" s="134"/>
      <c r="B23" s="139" t="s">
        <v>1193</v>
      </c>
      <c r="C23" s="134"/>
      <c r="D23" s="134"/>
      <c r="E23" s="134"/>
      <c r="F23" s="134"/>
      <c r="G23" s="134"/>
      <c r="H23" s="140" t="s">
        <v>1185</v>
      </c>
      <c r="I23" s="134"/>
      <c r="J23" s="134"/>
      <c r="K23" s="134"/>
      <c r="L23" s="134"/>
      <c r="M23" s="134"/>
      <c r="N23" s="139" t="s">
        <v>1186</v>
      </c>
      <c r="O23" s="134"/>
      <c r="P23" s="134"/>
      <c r="Q23" s="134"/>
      <c r="R23" s="134"/>
      <c r="S23" s="134"/>
      <c r="T23" s="138"/>
      <c r="U23" s="153" t="s">
        <v>138</v>
      </c>
      <c r="V23" s="153">
        <v>2514</v>
      </c>
      <c r="X23" s="136"/>
      <c r="Y23" s="136"/>
      <c r="Z23" s="136"/>
    </row>
    <row r="24" spans="1:26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8"/>
      <c r="U24" s="153" t="s">
        <v>127</v>
      </c>
      <c r="V24" s="153">
        <v>313</v>
      </c>
      <c r="X24" s="136"/>
      <c r="Y24" s="136"/>
      <c r="Z24" s="136"/>
    </row>
    <row r="25" spans="1:26">
      <c r="A25" s="134"/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8"/>
      <c r="U25" s="153" t="s">
        <v>1151</v>
      </c>
      <c r="V25" s="153">
        <v>35</v>
      </c>
      <c r="X25" s="136"/>
      <c r="Y25" s="136"/>
      <c r="Z25" s="136"/>
    </row>
    <row r="26" spans="1:26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8"/>
      <c r="U26" s="153" t="s">
        <v>312</v>
      </c>
      <c r="V26" s="153">
        <v>1</v>
      </c>
      <c r="X26" s="136"/>
      <c r="Y26" s="136"/>
      <c r="Z26" s="136"/>
    </row>
    <row r="27" spans="1:26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8"/>
      <c r="U27" s="153" t="s">
        <v>1187</v>
      </c>
      <c r="V27" s="153">
        <v>145</v>
      </c>
      <c r="X27" s="136"/>
      <c r="Y27" s="136"/>
      <c r="Z27" s="136"/>
    </row>
    <row r="28" spans="1:26">
      <c r="A28" s="134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8"/>
      <c r="X28" s="136"/>
      <c r="Y28" s="136"/>
      <c r="Z28" s="136"/>
    </row>
    <row r="29" spans="1:26">
      <c r="A29" s="134"/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8"/>
      <c r="U29" s="153" t="s">
        <v>1188</v>
      </c>
      <c r="V29" s="153" t="s">
        <v>1131</v>
      </c>
      <c r="X29" s="136"/>
      <c r="Y29" s="136"/>
      <c r="Z29" s="136"/>
    </row>
    <row r="30" spans="1:26">
      <c r="A30" s="134"/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8"/>
      <c r="W30" s="143"/>
      <c r="X30" s="141"/>
      <c r="Y30" s="141"/>
      <c r="Z30" s="141"/>
    </row>
    <row r="31" spans="1:26">
      <c r="A31" s="134"/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8"/>
      <c r="W31" s="143"/>
      <c r="X31" s="141"/>
      <c r="Y31" s="141"/>
      <c r="Z31" s="141"/>
    </row>
    <row r="32" spans="1:26">
      <c r="A32" s="134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8"/>
      <c r="W32" s="143"/>
      <c r="X32" s="141"/>
      <c r="Y32" s="141"/>
      <c r="Z32" s="141"/>
    </row>
    <row r="33" spans="1:26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8"/>
      <c r="W33" s="143"/>
      <c r="X33" s="141"/>
      <c r="Y33" s="141"/>
      <c r="Z33" s="141"/>
    </row>
    <row r="34" spans="1:26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8"/>
      <c r="W34" s="143"/>
      <c r="X34" s="141"/>
      <c r="Y34" s="141"/>
      <c r="Z34" s="141"/>
    </row>
    <row r="35" spans="1:26">
      <c r="A35" s="134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8"/>
      <c r="W35" s="143"/>
      <c r="X35" s="141"/>
      <c r="Y35" s="141"/>
      <c r="Z35" s="141"/>
    </row>
    <row r="36" spans="1:26">
      <c r="A36" s="134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8"/>
      <c r="W36" s="143"/>
      <c r="X36" s="141"/>
      <c r="Y36" s="141"/>
      <c r="Z36" s="141"/>
    </row>
    <row r="37" spans="1:26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8"/>
      <c r="U37" s="152"/>
      <c r="V37" s="152"/>
      <c r="W37" s="143"/>
      <c r="X37" s="141"/>
      <c r="Y37" s="141"/>
      <c r="Z37" s="141"/>
    </row>
    <row r="38" spans="1:26">
      <c r="A38" s="134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8"/>
      <c r="W38" s="143"/>
      <c r="X38" s="141"/>
      <c r="Y38" s="141"/>
      <c r="Z38" s="141"/>
    </row>
    <row r="39" spans="1:26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8"/>
      <c r="W39" s="143"/>
      <c r="X39" s="141"/>
      <c r="Y39" s="141"/>
      <c r="Z39" s="141"/>
    </row>
    <row r="40" spans="1:26">
      <c r="A40" s="134"/>
      <c r="B40" s="139" t="s">
        <v>1190</v>
      </c>
      <c r="C40" s="134"/>
      <c r="D40" s="134"/>
      <c r="E40" s="134"/>
      <c r="F40" s="134"/>
      <c r="G40" s="134"/>
      <c r="H40" s="139" t="s">
        <v>1191</v>
      </c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8"/>
      <c r="W40" s="143"/>
      <c r="X40" s="141"/>
      <c r="Y40" s="141"/>
      <c r="Z40" s="141"/>
    </row>
    <row r="41" spans="1:26">
      <c r="A41" s="134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8"/>
      <c r="W41" s="143"/>
      <c r="X41" s="141"/>
      <c r="Y41" s="141"/>
      <c r="Z41" s="141"/>
    </row>
    <row r="42" spans="1:26">
      <c r="A42" s="134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8"/>
      <c r="W42" s="143"/>
      <c r="X42" s="141"/>
      <c r="Y42" s="141"/>
      <c r="Z42" s="141"/>
    </row>
    <row r="43" spans="1:26">
      <c r="A43" s="134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8"/>
      <c r="W43" s="143"/>
      <c r="X43" s="141"/>
      <c r="Y43" s="141"/>
      <c r="Z43" s="141"/>
    </row>
    <row r="44" spans="1:26">
      <c r="A44" s="134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8"/>
      <c r="W44" s="143"/>
      <c r="X44" s="141"/>
      <c r="Y44" s="141"/>
      <c r="Z44" s="141"/>
    </row>
    <row r="45" spans="1:26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8"/>
      <c r="U45" s="154"/>
      <c r="W45" s="143"/>
      <c r="X45" s="141"/>
      <c r="Y45" s="141"/>
      <c r="Z45" s="141"/>
    </row>
    <row r="46" spans="1:26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8"/>
      <c r="U46" s="154"/>
      <c r="W46" s="143"/>
      <c r="X46" s="141"/>
      <c r="Y46" s="141"/>
      <c r="Z46" s="141"/>
    </row>
    <row r="47" spans="1:26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8"/>
      <c r="U47" s="154"/>
      <c r="W47" s="143"/>
      <c r="X47" s="141"/>
      <c r="Y47" s="141"/>
      <c r="Z47" s="141"/>
    </row>
    <row r="48" spans="1:26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8"/>
      <c r="U48" s="154"/>
      <c r="W48" s="143"/>
      <c r="X48" s="141"/>
      <c r="Y48" s="141"/>
      <c r="Z48" s="141"/>
    </row>
    <row r="49" spans="1:26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8"/>
      <c r="U49" s="154"/>
      <c r="W49" s="143"/>
      <c r="X49" s="141"/>
      <c r="Y49" s="141"/>
      <c r="Z49" s="141"/>
    </row>
    <row r="50" spans="1:26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8"/>
      <c r="U50" s="154"/>
      <c r="W50" s="143"/>
      <c r="X50" s="141"/>
      <c r="Y50" s="141"/>
      <c r="Z50" s="141"/>
    </row>
    <row r="51" spans="1:26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8"/>
      <c r="U51" s="154"/>
      <c r="W51" s="143"/>
      <c r="X51" s="141"/>
      <c r="Y51" s="141"/>
      <c r="Z51" s="141"/>
    </row>
    <row r="52" spans="1:26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8"/>
      <c r="U52" s="154"/>
      <c r="W52" s="143"/>
      <c r="X52" s="141"/>
      <c r="Y52" s="141"/>
      <c r="Z52" s="141"/>
    </row>
    <row r="53" spans="1:26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8"/>
      <c r="U53" s="154"/>
      <c r="W53" s="143"/>
      <c r="X53" s="141"/>
      <c r="Y53" s="141"/>
      <c r="Z53" s="141"/>
    </row>
    <row r="54" spans="1:26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8"/>
      <c r="U54" s="154"/>
      <c r="W54" s="143"/>
      <c r="X54" s="141"/>
      <c r="Y54" s="141"/>
      <c r="Z54" s="141"/>
    </row>
    <row r="55" spans="1:26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8"/>
      <c r="U55" s="154"/>
      <c r="W55" s="143"/>
      <c r="X55" s="141"/>
      <c r="Y55" s="141"/>
      <c r="Z55" s="141"/>
    </row>
    <row r="56" spans="1:26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8"/>
      <c r="U56" s="154"/>
      <c r="W56" s="143"/>
      <c r="X56" s="141"/>
      <c r="Y56" s="141"/>
      <c r="Z56" s="141"/>
    </row>
    <row r="57" spans="1:26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8"/>
      <c r="U57" s="154"/>
      <c r="W57" s="143"/>
      <c r="X57" s="141"/>
      <c r="Y57" s="141"/>
      <c r="Z57" s="141"/>
    </row>
    <row r="58" spans="1:26">
      <c r="A58" s="134"/>
      <c r="B58" s="142" t="s">
        <v>1139</v>
      </c>
      <c r="C58" s="134"/>
      <c r="D58" s="134"/>
      <c r="E58" s="134"/>
      <c r="F58" s="134"/>
      <c r="G58" s="134"/>
      <c r="H58" s="134"/>
      <c r="I58" s="134"/>
      <c r="J58" s="134"/>
      <c r="K58" s="142" t="s">
        <v>1195</v>
      </c>
      <c r="L58" s="134"/>
      <c r="M58" s="134"/>
      <c r="N58" s="134"/>
      <c r="O58" s="134"/>
      <c r="P58" s="134"/>
      <c r="Q58" s="134"/>
      <c r="R58" s="134"/>
      <c r="S58" s="134"/>
      <c r="T58" s="138"/>
      <c r="U58" s="154"/>
      <c r="W58" s="143"/>
      <c r="X58" s="141"/>
      <c r="Y58" s="141"/>
      <c r="Z58" s="141"/>
    </row>
    <row r="59" spans="1:26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8"/>
      <c r="U59" s="154"/>
      <c r="W59" s="143"/>
      <c r="X59" s="141"/>
      <c r="Y59" s="141"/>
      <c r="Z59" s="141"/>
    </row>
    <row r="60" spans="1:26">
      <c r="A60" s="134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8"/>
      <c r="U60" s="154"/>
      <c r="W60" s="143"/>
      <c r="X60" s="141"/>
      <c r="Y60" s="141"/>
      <c r="Z60" s="141"/>
    </row>
    <row r="61" spans="1:26">
      <c r="A61" s="134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8"/>
      <c r="U61" s="154"/>
      <c r="W61" s="143"/>
      <c r="X61" s="141"/>
      <c r="Y61" s="141"/>
      <c r="Z61" s="141"/>
    </row>
    <row r="62" spans="1:26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8"/>
      <c r="U62" s="154"/>
      <c r="W62" s="143"/>
      <c r="X62" s="141"/>
      <c r="Y62" s="141"/>
      <c r="Z62" s="141"/>
    </row>
    <row r="63" spans="1:26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8"/>
      <c r="U63" s="154"/>
      <c r="W63" s="143"/>
      <c r="X63" s="141"/>
      <c r="Y63" s="141"/>
      <c r="Z63" s="141"/>
    </row>
    <row r="64" spans="1:26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8"/>
      <c r="U64" s="154"/>
      <c r="W64" s="143"/>
      <c r="X64" s="141"/>
      <c r="Y64" s="141"/>
      <c r="Z64" s="141"/>
    </row>
    <row r="65" spans="1:26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8"/>
      <c r="U65" s="154"/>
      <c r="W65" s="143"/>
      <c r="X65" s="141"/>
      <c r="Y65" s="141"/>
      <c r="Z65" s="141"/>
    </row>
    <row r="66" spans="1:26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8"/>
      <c r="U66" s="154"/>
      <c r="W66" s="143"/>
      <c r="X66" s="141"/>
      <c r="Y66" s="141"/>
      <c r="Z66" s="141"/>
    </row>
    <row r="67" spans="1:26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8"/>
      <c r="U67" s="154"/>
      <c r="W67" s="143"/>
      <c r="X67" s="141"/>
      <c r="Y67" s="141"/>
      <c r="Z67" s="141"/>
    </row>
    <row r="68" spans="1:26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8"/>
      <c r="U68" s="154"/>
      <c r="W68" s="143"/>
      <c r="X68" s="141"/>
      <c r="Y68" s="141"/>
      <c r="Z68" s="141"/>
    </row>
    <row r="69" spans="1:26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8"/>
      <c r="U69" s="154"/>
      <c r="W69" s="143"/>
      <c r="X69" s="141"/>
      <c r="Y69" s="141"/>
      <c r="Z69" s="141"/>
    </row>
    <row r="70" spans="1:26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8"/>
      <c r="U70" s="154"/>
      <c r="W70" s="143"/>
      <c r="X70" s="141"/>
      <c r="Y70" s="141"/>
      <c r="Z70" s="141"/>
    </row>
    <row r="71" spans="1:26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8"/>
      <c r="U71" s="154"/>
      <c r="W71" s="143"/>
      <c r="X71" s="141"/>
      <c r="Y71" s="141"/>
      <c r="Z71" s="141"/>
    </row>
    <row r="72" spans="1:26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8"/>
      <c r="U72" s="154"/>
      <c r="W72" s="143"/>
      <c r="X72" s="141"/>
      <c r="Y72" s="141"/>
      <c r="Z72" s="141"/>
    </row>
    <row r="73" spans="1:26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8"/>
      <c r="U73" s="154"/>
      <c r="W73" s="143"/>
      <c r="X73" s="141"/>
      <c r="Y73" s="141"/>
      <c r="Z73" s="141"/>
    </row>
    <row r="74" spans="1:26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8"/>
      <c r="U74" s="154"/>
      <c r="W74" s="143"/>
      <c r="X74" s="141"/>
      <c r="Y74" s="141"/>
      <c r="Z74" s="141"/>
    </row>
    <row r="75" spans="1:26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8"/>
      <c r="W75" s="143"/>
      <c r="X75" s="141"/>
      <c r="Y75" s="141"/>
      <c r="Z75" s="141"/>
    </row>
    <row r="76" spans="1:26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8"/>
      <c r="W76" s="143"/>
      <c r="X76" s="141"/>
      <c r="Y76" s="141"/>
      <c r="Z76" s="141"/>
    </row>
    <row r="77" spans="1:26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8"/>
      <c r="X77" s="136"/>
      <c r="Y77" s="136"/>
      <c r="Z77" s="136"/>
    </row>
    <row r="78" spans="1:26">
      <c r="A78" s="134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8"/>
      <c r="X78" s="136"/>
      <c r="Y78" s="136"/>
      <c r="Z78" s="136"/>
    </row>
    <row r="79" spans="1:26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8"/>
      <c r="X79" s="136"/>
      <c r="Y79" s="136"/>
      <c r="Z79" s="136"/>
    </row>
    <row r="80" spans="1:26">
      <c r="X80" s="136"/>
      <c r="Y80" s="136"/>
      <c r="Z80" s="136"/>
    </row>
  </sheetData>
  <mergeCells count="12">
    <mergeCell ref="B2:R2"/>
    <mergeCell ref="B3:R3"/>
    <mergeCell ref="B5:C5"/>
    <mergeCell ref="E5:F5"/>
    <mergeCell ref="H5:I5"/>
    <mergeCell ref="K5:L5"/>
    <mergeCell ref="N5:O5"/>
    <mergeCell ref="B6:C6"/>
    <mergeCell ref="E6:F6"/>
    <mergeCell ref="H6:I6"/>
    <mergeCell ref="K6:L6"/>
    <mergeCell ref="N6:O6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F1F5E-F1A9-4D57-A86F-01262E0C36A3}">
  <dimension ref="A1:U4033"/>
  <sheetViews>
    <sheetView showGridLines="0" workbookViewId="0">
      <selection activeCell="F11" sqref="F11"/>
    </sheetView>
  </sheetViews>
  <sheetFormatPr defaultRowHeight="14.5"/>
  <cols>
    <col min="1" max="1" width="28.453125" customWidth="1"/>
    <col min="2" max="2" width="17.81640625" customWidth="1"/>
    <col min="3" max="3" width="12.36328125" bestFit="1" customWidth="1"/>
    <col min="4" max="4" width="9.453125" bestFit="1" customWidth="1"/>
    <col min="5" max="5" width="14.6328125" customWidth="1"/>
    <col min="6" max="6" width="13.6328125" bestFit="1" customWidth="1"/>
    <col min="7" max="7" width="14.453125" customWidth="1"/>
    <col min="8" max="8" width="34.81640625" customWidth="1"/>
    <col min="9" max="9" width="14.81640625" bestFit="1" customWidth="1"/>
    <col min="10" max="10" width="14.26953125" bestFit="1" customWidth="1"/>
    <col min="15" max="15" width="36.36328125" style="30" customWidth="1"/>
  </cols>
  <sheetData>
    <row r="1" spans="1:21" ht="21" customHeight="1">
      <c r="A1" s="176" t="s">
        <v>1113</v>
      </c>
      <c r="B1" s="176"/>
      <c r="C1" s="176"/>
      <c r="D1" s="176"/>
      <c r="E1" s="176"/>
      <c r="F1" s="176"/>
      <c r="G1" s="176"/>
      <c r="H1" s="176"/>
      <c r="I1" s="176"/>
      <c r="J1" s="60"/>
      <c r="K1" s="60"/>
      <c r="L1" s="60"/>
      <c r="M1" s="60"/>
      <c r="N1" s="60"/>
      <c r="O1" s="61"/>
      <c r="P1" s="59"/>
      <c r="Q1" s="59"/>
      <c r="R1" s="59"/>
      <c r="S1" s="59"/>
      <c r="T1" s="59"/>
      <c r="U1" s="59"/>
    </row>
    <row r="2" spans="1:21" ht="14.5" customHeight="1">
      <c r="A2" s="176"/>
      <c r="B2" s="176"/>
      <c r="C2" s="176"/>
      <c r="D2" s="176"/>
      <c r="E2" s="176"/>
      <c r="F2" s="176"/>
      <c r="G2" s="176"/>
      <c r="H2" s="176"/>
      <c r="I2" s="176"/>
      <c r="J2" s="60"/>
      <c r="K2" s="60"/>
      <c r="L2" s="60"/>
      <c r="M2" s="60"/>
      <c r="N2" s="60"/>
      <c r="O2" s="62"/>
      <c r="P2" s="59"/>
      <c r="Q2" s="59"/>
      <c r="R2" s="59"/>
      <c r="S2" s="59"/>
      <c r="T2" s="59"/>
      <c r="U2" s="59"/>
    </row>
    <row r="3" spans="1:21" ht="15" thickBot="1">
      <c r="O3" s="63"/>
    </row>
    <row r="4" spans="1:21" ht="16.5" thickBot="1">
      <c r="B4" s="177" t="s">
        <v>1114</v>
      </c>
      <c r="C4" s="178"/>
      <c r="D4" s="178"/>
      <c r="E4" s="178"/>
      <c r="F4" s="178"/>
      <c r="G4" s="179"/>
      <c r="H4" s="64"/>
      <c r="I4" s="64"/>
      <c r="O4" s="63"/>
    </row>
    <row r="5" spans="1:21">
      <c r="B5" s="65" t="s">
        <v>1115</v>
      </c>
      <c r="C5" s="66" t="s">
        <v>19</v>
      </c>
      <c r="D5" s="67" t="s">
        <v>1116</v>
      </c>
      <c r="E5" s="68" t="s">
        <v>1117</v>
      </c>
      <c r="F5" s="69" t="s">
        <v>1118</v>
      </c>
      <c r="G5" s="70" t="s">
        <v>1119</v>
      </c>
      <c r="H5" s="71"/>
      <c r="I5" s="72"/>
      <c r="O5" s="73"/>
    </row>
    <row r="6" spans="1:21" ht="26.5" thickBot="1">
      <c r="B6" s="74">
        <f>B10</f>
        <v>881</v>
      </c>
      <c r="C6" s="75">
        <f>B11</f>
        <v>858</v>
      </c>
      <c r="D6" s="76">
        <f>B12</f>
        <v>23</v>
      </c>
      <c r="E6" s="77">
        <f>COUNTIFS('Monthly Report July-26'!W:W,"Repair",'Monthly Report July-26'!X:X,"&gt;="&amp;DATE(2026,7,1),'Monthly Report July-26'!X:X,"&lt;="&amp;DATE(2026,7,31))</f>
        <v>719</v>
      </c>
      <c r="F6" s="78">
        <f>D10</f>
        <v>0.97389330306469923</v>
      </c>
      <c r="G6" s="79">
        <f>ROUND(AVERAGEIF('Monthly Report July-26'!Y:Y,"&gt;=0"),1)</f>
        <v>64.099999999999994</v>
      </c>
      <c r="H6" s="80"/>
      <c r="I6" s="81"/>
      <c r="O6" s="63"/>
    </row>
    <row r="7" spans="1:21">
      <c r="O7" s="63"/>
    </row>
    <row r="8" spans="1:21" ht="17.5" thickBot="1">
      <c r="A8" s="180" t="s">
        <v>1120</v>
      </c>
      <c r="B8" s="180"/>
      <c r="C8" s="180"/>
      <c r="D8" s="180"/>
      <c r="O8" s="63"/>
    </row>
    <row r="9" spans="1:21">
      <c r="A9" s="82" t="s">
        <v>1121</v>
      </c>
      <c r="B9" s="83" t="s">
        <v>1122</v>
      </c>
      <c r="C9" s="83" t="s">
        <v>1121</v>
      </c>
      <c r="D9" s="84" t="s">
        <v>1122</v>
      </c>
      <c r="O9" s="63"/>
    </row>
    <row r="10" spans="1:21">
      <c r="A10" s="113" t="s">
        <v>1154</v>
      </c>
      <c r="B10" s="85">
        <f>SUM(B11,B12)</f>
        <v>881</v>
      </c>
      <c r="C10" s="86" t="s">
        <v>1118</v>
      </c>
      <c r="D10" s="87">
        <f>B11/B10</f>
        <v>0.97389330306469923</v>
      </c>
      <c r="O10" s="63"/>
    </row>
    <row r="11" spans="1:21">
      <c r="A11" s="88" t="s">
        <v>1123</v>
      </c>
      <c r="B11" s="89">
        <f>COUNTIFS('Monthly Report July-26'!F:F,"Closed",'Monthly Report July-26'!X:X,"&gt;="&amp;DATE(2026,7,1),'Monthly Report July-26'!X:X,"&lt;="&amp;DATE(2026,7,31))</f>
        <v>858</v>
      </c>
      <c r="C11" s="86" t="s">
        <v>1124</v>
      </c>
      <c r="D11" s="90">
        <f>B12/B10</f>
        <v>2.6106696935300794E-2</v>
      </c>
      <c r="O11" s="63"/>
    </row>
    <row r="12" spans="1:21">
      <c r="A12" s="91" t="s">
        <v>1125</v>
      </c>
      <c r="B12" s="89">
        <f>COUNTIF('Monthly Report July-26'!F:F,"WIP")</f>
        <v>23</v>
      </c>
      <c r="D12" s="92"/>
      <c r="E12" s="93"/>
      <c r="O12" s="63"/>
    </row>
    <row r="13" spans="1:21" ht="15" thickBot="1">
      <c r="A13" s="94" t="s">
        <v>1126</v>
      </c>
      <c r="B13" s="95">
        <f>COUNTA(_xlfn.UNIQUE('Monthly Report July-26'!L2:L906))</f>
        <v>11</v>
      </c>
      <c r="C13" s="96"/>
      <c r="D13" s="97"/>
      <c r="O13" s="63"/>
    </row>
    <row r="14" spans="1:21">
      <c r="F14" s="98"/>
      <c r="O14" s="63"/>
    </row>
    <row r="15" spans="1:21">
      <c r="F15" s="98"/>
      <c r="O15" s="63"/>
    </row>
    <row r="16" spans="1:21" ht="15" thickBot="1">
      <c r="A16" s="99" t="s">
        <v>1127</v>
      </c>
      <c r="H16" s="99" t="s">
        <v>1128</v>
      </c>
      <c r="O16" s="63"/>
    </row>
    <row r="17" spans="1:15" ht="16">
      <c r="A17" s="172" t="s">
        <v>1129</v>
      </c>
      <c r="B17" s="173"/>
      <c r="C17" s="173"/>
      <c r="D17" s="173"/>
      <c r="E17" s="174"/>
      <c r="H17" s="172" t="s">
        <v>1130</v>
      </c>
      <c r="I17" s="173"/>
      <c r="J17" s="174"/>
      <c r="O17" s="63"/>
    </row>
    <row r="18" spans="1:15">
      <c r="A18" s="100" t="s">
        <v>2</v>
      </c>
      <c r="B18" s="100" t="s">
        <v>1131</v>
      </c>
      <c r="C18" s="100" t="s">
        <v>19</v>
      </c>
      <c r="D18" s="100" t="s">
        <v>38</v>
      </c>
      <c r="E18" s="101"/>
      <c r="H18" s="102" t="s">
        <v>4</v>
      </c>
      <c r="I18" s="100" t="s">
        <v>1131</v>
      </c>
      <c r="J18" s="101" t="s">
        <v>1132</v>
      </c>
      <c r="O18" s="30" t="e">
        <f>COUNTIFS(#REF!,#REF!,#REF!,"Closed",#REF!,"&gt;="&amp;DATE(2026,4,1),#REF!,"&lt;="&amp;DATE(2026,4,30))</f>
        <v>#REF!</v>
      </c>
    </row>
    <row r="19" spans="1:15">
      <c r="A19" t="s">
        <v>1106</v>
      </c>
      <c r="B19" s="103">
        <f>COUNTIF('Monthly Report July-26'!$C$2:$C$906,A19)</f>
        <v>1</v>
      </c>
      <c r="C19" s="89">
        <f>COUNTIFS('Monthly Report July-26'!$C:$C,A19,'Monthly Report July-26'!$F:$F,"Closed",'Monthly Report July-26'!$X:$X,"&gt;="&amp;DATE(2026,7,1),'Monthly Report July-26'!$X:$X,"&lt;="&amp;DATE(2026,7,31))</f>
        <v>1</v>
      </c>
      <c r="D19" s="89">
        <f>COUNTIFS('Monthly Report July-26'!$C:$C,A19,'Monthly Report July-26'!$F:$F,"WIP")</f>
        <v>0</v>
      </c>
      <c r="E19" s="104"/>
      <c r="H19" s="113" t="s">
        <v>16</v>
      </c>
      <c r="I19" s="103">
        <f>COUNTIFS('Monthly Report July-26'!$L:$L,H19,'Monthly Report July-26'!$F:$F,"Closed",'Monthly Report July-26'!$X:$X,"&gt;="&amp;DATE(2026,7,1),'Monthly Report July-26'!$X:$X,"&lt;="&amp;DATE(2026,7,31))</f>
        <v>3</v>
      </c>
      <c r="J19" s="105">
        <f>I19/$I$29</f>
        <v>3.4965034965034965E-3</v>
      </c>
    </row>
    <row r="20" spans="1:15">
      <c r="A20" t="s">
        <v>21</v>
      </c>
      <c r="B20" s="103">
        <f>COUNTIF('Monthly Report July-26'!$C$2:$C$906,A20)</f>
        <v>224</v>
      </c>
      <c r="C20" s="89">
        <f>COUNTIFS('Monthly Report July-26'!$C:$C,A20,'Monthly Report July-26'!$F:$F,"Closed",'Monthly Report July-26'!$X:$X,"&gt;="&amp;DATE(2026,7,1),'Monthly Report July-26'!$X:$X,"&lt;="&amp;DATE(2026,7,31))</f>
        <v>224</v>
      </c>
      <c r="D20" s="89">
        <f>COUNTIFS('Monthly Report July-26'!$C:$C,A20,'Monthly Report July-26'!$F:$F,"WIP")</f>
        <v>0</v>
      </c>
      <c r="E20" s="104"/>
      <c r="H20" s="113" t="s">
        <v>23</v>
      </c>
      <c r="I20" s="103">
        <f>COUNTIFS('Monthly Report July-26'!$L:$L,H20,'Monthly Report July-26'!$F:$F,"Closed",'Monthly Report July-26'!$X:$X,"&gt;="&amp;DATE(2026,7,1),'Monthly Report July-26'!$X:$X,"&lt;="&amp;DATE(2026,7,31))</f>
        <v>224</v>
      </c>
      <c r="J20" s="105">
        <f t="shared" ref="J20:J28" si="0">I20/$I$29</f>
        <v>0.26107226107226106</v>
      </c>
    </row>
    <row r="21" spans="1:15">
      <c r="A21" t="s">
        <v>26</v>
      </c>
      <c r="B21" s="103">
        <f>COUNTIF('Monthly Report July-26'!$C$2:$C$906,A21)</f>
        <v>483</v>
      </c>
      <c r="C21" s="89">
        <f>COUNTIFS('Monthly Report July-26'!$C:$C,A21,'Monthly Report July-26'!$F:$F,"Closed",'Monthly Report July-26'!$X:$X,"&gt;="&amp;DATE(2026,7,1),'Monthly Report July-26'!$X:$X,"&lt;="&amp;DATE(2026,7,31))</f>
        <v>483</v>
      </c>
      <c r="D21" s="89">
        <f>COUNTIFS('Monthly Report July-26'!$C:$C,A21,'Monthly Report July-26'!$F:$F,"WIP")</f>
        <v>0</v>
      </c>
      <c r="E21" s="104"/>
      <c r="H21" s="113" t="s">
        <v>28</v>
      </c>
      <c r="I21" s="103">
        <f>COUNTIFS('Monthly Report July-26'!$L:$L,H21,'Monthly Report July-26'!$F:$F,"Closed",'Monthly Report July-26'!$X:$X,"&gt;="&amp;DATE(2026,7,1),'Monthly Report July-26'!$X:$X,"&lt;="&amp;DATE(2026,7,31))</f>
        <v>483</v>
      </c>
      <c r="J21" s="105">
        <f t="shared" si="0"/>
        <v>0.56293706293706292</v>
      </c>
      <c r="O21" s="106"/>
    </row>
    <row r="22" spans="1:15">
      <c r="A22" t="s">
        <v>33</v>
      </c>
      <c r="B22" s="103">
        <f>COUNTIF('Monthly Report July-26'!$C$2:$C$906,A22)</f>
        <v>12</v>
      </c>
      <c r="C22" s="89">
        <f>COUNTIFS('Monthly Report July-26'!$C:$C,A22,'Monthly Report July-26'!$F:$F,"Closed",'Monthly Report July-26'!$X:$X,"&gt;="&amp;DATE(2026,7,1),'Monthly Report July-26'!$X:$X,"&lt;="&amp;DATE(2026,7,31))</f>
        <v>2</v>
      </c>
      <c r="D22" s="89">
        <f>COUNTIFS('Monthly Report July-26'!$C:$C,A22,'Monthly Report July-26'!$F:$F,"WIP")</f>
        <v>10</v>
      </c>
      <c r="E22" s="104"/>
      <c r="H22" s="113" t="s">
        <v>35</v>
      </c>
      <c r="I22" s="103">
        <f>COUNTIFS('Monthly Report July-26'!$L:$L,H22,'Monthly Report July-26'!$F:$F,"Closed",'Monthly Report July-26'!$X:$X,"&gt;="&amp;DATE(2026,7,1),'Monthly Report July-26'!$X:$X,"&lt;="&amp;DATE(2026,7,31))</f>
        <v>125</v>
      </c>
      <c r="J22" s="105">
        <f t="shared" si="0"/>
        <v>0.14568764568764569</v>
      </c>
      <c r="O22" s="63"/>
    </row>
    <row r="23" spans="1:15">
      <c r="A23" t="s">
        <v>39</v>
      </c>
      <c r="B23" s="103">
        <f>COUNTIF('Monthly Report July-26'!$C$2:$C$906,A23)</f>
        <v>3</v>
      </c>
      <c r="C23" s="89">
        <f>COUNTIFS('Monthly Report July-26'!$C:$C,A23,'Monthly Report July-26'!$F:$F,"Closed",'Monthly Report July-26'!$X:$X,"&gt;="&amp;DATE(2026,7,1),'Monthly Report July-26'!$X:$X,"&lt;="&amp;DATE(2026,7,31))</f>
        <v>3</v>
      </c>
      <c r="D23" s="89">
        <f>COUNTIFS('Monthly Report July-26'!$C:$C,A23,'Monthly Report July-26'!$F:$F,"WIP")</f>
        <v>0</v>
      </c>
      <c r="E23" s="104"/>
      <c r="H23" s="113" t="s">
        <v>41</v>
      </c>
      <c r="I23" s="103">
        <f>COUNTIFS('Monthly Report July-26'!$L:$L,H23,'Monthly Report July-26'!$F:$F,"Closed",'Monthly Report July-26'!$X:$X,"&gt;="&amp;DATE(2026,7,1),'Monthly Report July-26'!$X:$X,"&lt;="&amp;DATE(2026,7,31))</f>
        <v>3</v>
      </c>
      <c r="J23" s="105">
        <f t="shared" si="0"/>
        <v>3.4965034965034965E-3</v>
      </c>
      <c r="O23" s="63"/>
    </row>
    <row r="24" spans="1:15">
      <c r="A24" t="s">
        <v>52</v>
      </c>
      <c r="B24" s="103">
        <f>COUNTIF('Monthly Report July-26'!$C$2:$C$906,A24)</f>
        <v>38</v>
      </c>
      <c r="C24" s="89">
        <f>COUNTIFS('Monthly Report July-26'!$C:$C,A24,'Monthly Report July-26'!$F:$F,"Closed",'Monthly Report July-26'!$X:$X,"&gt;="&amp;DATE(2026,7,1),'Monthly Report July-26'!$X:$X,"&lt;="&amp;DATE(2026,7,31))</f>
        <v>32</v>
      </c>
      <c r="D24" s="89">
        <f>COUNTIFS('Monthly Report July-26'!$C:$C,A24,'Monthly Report July-26'!$F:$F,"WIP")</f>
        <v>6</v>
      </c>
      <c r="E24" s="104"/>
      <c r="H24" s="113" t="s">
        <v>1107</v>
      </c>
      <c r="I24" s="103">
        <f>COUNTIFS('Monthly Report July-26'!$L:$L,H24,'Monthly Report July-26'!$F:$F,"Closed",'Monthly Report July-26'!$X:$X,"&gt;="&amp;DATE(2026,7,1),'Monthly Report July-26'!$X:$X,"&lt;="&amp;DATE(2026,7,31))</f>
        <v>12</v>
      </c>
      <c r="J24" s="105">
        <f t="shared" si="0"/>
        <v>1.3986013986013986E-2</v>
      </c>
      <c r="O24" s="63"/>
    </row>
    <row r="25" spans="1:15">
      <c r="A25" t="s">
        <v>43</v>
      </c>
      <c r="B25" s="103">
        <f>COUNTIF('Monthly Report July-26'!$C$2:$C$906,A25)</f>
        <v>20</v>
      </c>
      <c r="C25" s="89">
        <f>COUNTIFS('Monthly Report July-26'!$C:$C,A25,'Monthly Report July-26'!$F:$F,"Closed",'Monthly Report July-26'!$X:$X,"&gt;="&amp;DATE(2026,7,1),'Monthly Report July-26'!$X:$X,"&lt;="&amp;DATE(2026,7,31))</f>
        <v>20</v>
      </c>
      <c r="D25" s="89">
        <f>COUNTIFS('Monthly Report July-26'!$C:$C,A25,'Monthly Report July-26'!$F:$F,"WIP")</f>
        <v>0</v>
      </c>
      <c r="E25" s="104"/>
      <c r="H25" s="113" t="s">
        <v>58</v>
      </c>
      <c r="I25" s="103">
        <f>COUNTIFS('Monthly Report July-26'!$L:$L,H25,'Monthly Report July-26'!$F:$F,"Closed",'Monthly Report July-26'!$X:$X,"&gt;="&amp;DATE(2026,7,1),'Monthly Report July-26'!$X:$X,"&lt;="&amp;DATE(2026,7,31))</f>
        <v>3</v>
      </c>
      <c r="J25" s="105">
        <f t="shared" si="0"/>
        <v>3.4965034965034965E-3</v>
      </c>
      <c r="O25" s="63"/>
    </row>
    <row r="26" spans="1:15">
      <c r="A26" t="s">
        <v>46</v>
      </c>
      <c r="B26" s="103">
        <f>COUNTIF('Monthly Report July-26'!$C$2:$C$906,A26)</f>
        <v>4</v>
      </c>
      <c r="C26" s="89">
        <f>COUNTIFS('Monthly Report July-26'!$C:$C,A26,'Monthly Report July-26'!$F:$F,"Closed",'Monthly Report July-26'!$X:$X,"&gt;="&amp;DATE(2026,7,1),'Monthly Report July-26'!$X:$X,"&lt;="&amp;DATE(2026,7,31))</f>
        <v>4</v>
      </c>
      <c r="D26" s="89">
        <f>COUNTIFS('Monthly Report July-26'!$C:$C,A26,'Monthly Report July-26'!$F:$F,"WIP")</f>
        <v>0</v>
      </c>
      <c r="E26" s="104"/>
      <c r="H26" s="113" t="s">
        <v>74</v>
      </c>
      <c r="I26" s="103">
        <f>COUNTIFS('Monthly Report July-26'!$L:$L,H26,'Monthly Report July-26'!$F:$F,"Closed",'Monthly Report July-26'!$X:$X,"&gt;="&amp;DATE(2026,7,1),'Monthly Report July-26'!$X:$X,"&lt;="&amp;DATE(2026,7,31))</f>
        <v>1</v>
      </c>
      <c r="J26" s="105">
        <f t="shared" si="0"/>
        <v>1.1655011655011655E-3</v>
      </c>
    </row>
    <row r="27" spans="1:15">
      <c r="A27" t="s">
        <v>62</v>
      </c>
      <c r="B27" s="103">
        <f>COUNTIF('Monthly Report July-26'!$C$2:$C$906,A27)</f>
        <v>91</v>
      </c>
      <c r="C27" s="89">
        <f>COUNTIFS('Monthly Report July-26'!$C:$C,A27,'Monthly Report July-26'!$F:$F,"Closed",'Monthly Report July-26'!$X:$X,"&gt;="&amp;DATE(2026,7,1),'Monthly Report July-26'!$X:$X,"&lt;="&amp;DATE(2026,7,31))</f>
        <v>84</v>
      </c>
      <c r="D27" s="89">
        <f>COUNTIFS('Monthly Report July-26'!$C:$C,A27,'Monthly Report July-26'!$F:$F,"WIP")</f>
        <v>7</v>
      </c>
      <c r="E27" s="104"/>
      <c r="H27" s="113" t="s">
        <v>78</v>
      </c>
      <c r="I27" s="103">
        <f>COUNTIFS('Monthly Report July-26'!$L:$L,H27,'Monthly Report July-26'!$F:$F,"Closed",'Monthly Report July-26'!$X:$X,"&gt;="&amp;DATE(2026,7,1),'Monthly Report July-26'!$X:$X,"&lt;="&amp;DATE(2026,7,31))</f>
        <v>3</v>
      </c>
      <c r="J27" s="105">
        <f t="shared" si="0"/>
        <v>3.4965034965034965E-3</v>
      </c>
      <c r="O27"/>
    </row>
    <row r="28" spans="1:15">
      <c r="A28" t="s">
        <v>65</v>
      </c>
      <c r="B28" s="103">
        <f>COUNTIF('Monthly Report July-26'!$C$2:$C$906,A28)</f>
        <v>2</v>
      </c>
      <c r="C28" s="89">
        <f>COUNTIFS('Monthly Report July-26'!$C:$C,A28,'Monthly Report July-26'!$F:$F,"Closed",'Monthly Report July-26'!$X:$X,"&gt;="&amp;DATE(2026,7,1),'Monthly Report July-26'!$X:$X,"&lt;="&amp;DATE(2026,7,31))</f>
        <v>2</v>
      </c>
      <c r="D28" s="89">
        <f>COUNTIFS('Monthly Report July-26'!$C:$C,A28,'Monthly Report July-26'!$F:$F,"WIP")</f>
        <v>0</v>
      </c>
      <c r="E28" s="104"/>
      <c r="H28" s="113" t="s">
        <v>95</v>
      </c>
      <c r="I28" s="103">
        <f>COUNTIFS('Monthly Report July-26'!$L:$L,H28,'Monthly Report July-26'!$F:$F,"Closed",'Monthly Report July-26'!$X:$X,"&gt;="&amp;DATE(2026,7,1),'Monthly Report July-26'!$X:$X,"&lt;="&amp;DATE(2026,7,31))</f>
        <v>1</v>
      </c>
      <c r="J28" s="105">
        <f t="shared" si="0"/>
        <v>1.1655011655011655E-3</v>
      </c>
      <c r="O28"/>
    </row>
    <row r="29" spans="1:15" ht="15" thickBot="1">
      <c r="A29" t="s">
        <v>67</v>
      </c>
      <c r="B29" s="103">
        <f>COUNTIF('Monthly Report July-26'!$C$2:$C$906,A29)</f>
        <v>2</v>
      </c>
      <c r="C29" s="89">
        <f>COUNTIFS('Monthly Report July-26'!$C:$C,A29,'Monthly Report July-26'!$F:$F,"Closed",'Monthly Report July-26'!$X:$X,"&gt;="&amp;DATE(2026,7,1),'Monthly Report July-26'!$X:$X,"&lt;="&amp;DATE(2026,7,31))</f>
        <v>2</v>
      </c>
      <c r="D29" s="89">
        <f>COUNTIFS('Monthly Report July-26'!$C:$C,A29,'Monthly Report July-26'!$F:$F,"WIP")</f>
        <v>0</v>
      </c>
      <c r="E29" s="104"/>
      <c r="H29" s="127" t="s">
        <v>1134</v>
      </c>
      <c r="I29" s="108">
        <f>SUM(I19:I28)</f>
        <v>858</v>
      </c>
      <c r="J29" s="109">
        <f>SUM(J19:J28)</f>
        <v>1</v>
      </c>
      <c r="O29"/>
    </row>
    <row r="30" spans="1:15">
      <c r="A30" t="s">
        <v>72</v>
      </c>
      <c r="B30" s="103">
        <f>COUNTIF('Monthly Report July-26'!$C$2:$C$906,A30)</f>
        <v>0</v>
      </c>
      <c r="C30" s="89">
        <f>COUNTIFS('Monthly Report July-26'!$C:$C,A30,'Monthly Report July-26'!$F:$F,"Closed",'Monthly Report July-26'!$X:$X,"&gt;="&amp;DATE(2026,7,1),'Monthly Report July-26'!$X:$X,"&lt;="&amp;DATE(2026,7,31))</f>
        <v>0</v>
      </c>
      <c r="D30" s="89">
        <f>COUNTIFS('Monthly Report July-26'!$C:$C,A30,'Monthly Report July-26'!$F:$F,"WIP")</f>
        <v>0</v>
      </c>
      <c r="E30" s="104"/>
      <c r="O30"/>
    </row>
    <row r="31" spans="1:15" ht="15" thickBot="1">
      <c r="A31" s="127" t="s">
        <v>1134</v>
      </c>
      <c r="B31" s="108">
        <f ca="1">SUM(B19:B32)</f>
        <v>875</v>
      </c>
      <c r="C31" s="108">
        <f ca="1">SUM(C19:C32)</f>
        <v>858</v>
      </c>
      <c r="D31" s="108">
        <f>SUM(D19:D30)</f>
        <v>23</v>
      </c>
      <c r="E31" s="109"/>
      <c r="O31"/>
    </row>
    <row r="32" spans="1:15">
      <c r="B32" s="103"/>
      <c r="C32" s="89"/>
      <c r="D32" s="89"/>
      <c r="E32" s="111"/>
      <c r="H32" s="63"/>
      <c r="O32"/>
    </row>
    <row r="33" spans="1:15" ht="15" thickBot="1">
      <c r="B33" s="103"/>
      <c r="C33" s="89"/>
      <c r="D33" s="89"/>
      <c r="E33" s="111"/>
      <c r="H33" s="63"/>
      <c r="O33"/>
    </row>
    <row r="34" spans="1:15" ht="16.5" thickBot="1">
      <c r="H34" s="172" t="s">
        <v>1135</v>
      </c>
      <c r="I34" s="173"/>
      <c r="J34" s="174"/>
      <c r="O34"/>
    </row>
    <row r="35" spans="1:15" ht="15" thickBot="1">
      <c r="H35" s="129" t="s">
        <v>1136</v>
      </c>
      <c r="I35" s="130" t="s">
        <v>1131</v>
      </c>
      <c r="J35" s="131" t="s">
        <v>1132</v>
      </c>
      <c r="O35"/>
    </row>
    <row r="36" spans="1:15">
      <c r="H36" s="128" t="s">
        <v>133</v>
      </c>
      <c r="I36" s="103">
        <f>COUNTIFS('Monthly Report July-26'!$W:$W,H36,'Monthly Report July-26'!$X:$X,"&gt;="&amp;DATE(2026,7,1),'Monthly Report July-26'!$X:$X,"&lt;="&amp;DATE(2026,7,31))</f>
        <v>719</v>
      </c>
      <c r="J36" s="104">
        <f>I36/$I$41</f>
        <v>0.82548794489092991</v>
      </c>
      <c r="O36"/>
    </row>
    <row r="37" spans="1:15" ht="15" thickBot="1">
      <c r="H37" s="128" t="s">
        <v>259</v>
      </c>
      <c r="I37" s="103">
        <f>COUNTIFS('Monthly Report July-26'!$W:$W,H37,'Monthly Report July-26'!$X:$X,"&gt;="&amp;DATE(2026,7,1),'Monthly Report July-26'!$X:$X,"&lt;="&amp;DATE(2026,7,31))</f>
        <v>112</v>
      </c>
      <c r="J37" s="104">
        <f>I37/$I$41</f>
        <v>0.12858783008036739</v>
      </c>
      <c r="O37"/>
    </row>
    <row r="38" spans="1:15" ht="16">
      <c r="A38" s="172" t="s">
        <v>1137</v>
      </c>
      <c r="B38" s="173"/>
      <c r="C38" s="173"/>
      <c r="D38" s="174"/>
      <c r="H38" s="128" t="s">
        <v>1112</v>
      </c>
      <c r="I38" s="103">
        <f>COUNTIFS('Monthly Report July-26'!$W:$W,H38,'Monthly Report July-26'!$X:$X,"&gt;="&amp;DATE(2026,7,1),'Monthly Report July-26'!$X:$X,"&lt;="&amp;DATE(2026,7,31))</f>
        <v>25</v>
      </c>
      <c r="J38" s="104">
        <f>I38/$I$41</f>
        <v>2.8702640642939151E-2</v>
      </c>
      <c r="O38"/>
    </row>
    <row r="39" spans="1:15">
      <c r="A39" s="102" t="s">
        <v>0</v>
      </c>
      <c r="B39" s="100" t="s">
        <v>1138</v>
      </c>
      <c r="C39" s="100" t="s">
        <v>19</v>
      </c>
      <c r="D39" s="101" t="s">
        <v>38</v>
      </c>
      <c r="H39" s="128" t="s">
        <v>1165</v>
      </c>
      <c r="I39" s="103">
        <f>COUNTIFS('Monthly Report July-26'!$W:$W,H39,'Monthly Report July-26'!$A:$A,"&gt;="&amp;DATE(2026,7,1),'Monthly Report July-26'!$A:$A,"&lt;="&amp;DATE(2026,7,31))</f>
        <v>13</v>
      </c>
      <c r="J39" s="104">
        <f>I39/$I$41</f>
        <v>1.4925373134328358E-2</v>
      </c>
      <c r="O39"/>
    </row>
    <row r="40" spans="1:15">
      <c r="A40" s="110">
        <v>46204</v>
      </c>
      <c r="B40" s="103">
        <f>COUNTIF('Monthly Report July-26'!$Z:$Z,A40)</f>
        <v>40</v>
      </c>
      <c r="C40" s="103">
        <f>COUNTIFS('Monthly Report July-26'!$X:X,A40,'Monthly Report July-26'!F:F,"Closed")</f>
        <v>40</v>
      </c>
      <c r="D40" s="92">
        <f>COUNTIFS('Monthly Report July-26'!$Z:$Z,A40,'Monthly Report July-26'!F:F,"WIP")</f>
        <v>0</v>
      </c>
      <c r="H40" s="128" t="s">
        <v>712</v>
      </c>
      <c r="I40" s="103">
        <f>COUNTIFS('Monthly Report July-26'!$W:$W,H40,'Monthly Report July-26'!$X:$X,"&gt;="&amp;DATE(2026,7,1),'Monthly Report July-26'!$X:$X,"&lt;="&amp;DATE(2026,7,31))</f>
        <v>2</v>
      </c>
      <c r="J40" s="104">
        <f>I40/$I$41</f>
        <v>2.2962112514351321E-3</v>
      </c>
      <c r="O40"/>
    </row>
    <row r="41" spans="1:15" ht="15" thickBot="1">
      <c r="A41" s="110">
        <v>46205</v>
      </c>
      <c r="B41" s="103">
        <f>COUNTIF('Monthly Report July-26'!$Z:$Z,A41)</f>
        <v>46</v>
      </c>
      <c r="C41" s="103">
        <f>COUNTIFS('Monthly Report July-26'!$X:X,A41,'Monthly Report July-26'!F:F,"Closed")</f>
        <v>46</v>
      </c>
      <c r="D41" s="92">
        <f>COUNTIFS('Monthly Report July-26'!$Z:$Z,A41,'Monthly Report July-26'!F:F,"WIP")</f>
        <v>0</v>
      </c>
      <c r="H41" s="127" t="s">
        <v>1134</v>
      </c>
      <c r="I41" s="108">
        <f>SUM(I36:I40)</f>
        <v>871</v>
      </c>
      <c r="J41" s="109">
        <f>SUM(J34:J40)</f>
        <v>1</v>
      </c>
      <c r="O41"/>
    </row>
    <row r="42" spans="1:15">
      <c r="A42" s="110">
        <v>46206</v>
      </c>
      <c r="B42" s="103">
        <f>COUNTIF('Monthly Report July-26'!$Z:$Z,A42)</f>
        <v>51</v>
      </c>
      <c r="C42" s="103">
        <f>COUNTIFS('Monthly Report July-26'!$X:X,A42,'Monthly Report July-26'!F:F,"Closed")</f>
        <v>51</v>
      </c>
      <c r="D42" s="92">
        <f>COUNTIFS('Monthly Report July-26'!$Z:$Z,A42,'Monthly Report July-26'!F:F,"WIP")</f>
        <v>0</v>
      </c>
      <c r="I42" s="103"/>
      <c r="J42" s="111"/>
      <c r="O42"/>
    </row>
    <row r="43" spans="1:15">
      <c r="A43" s="110">
        <v>46207</v>
      </c>
      <c r="B43" s="103">
        <f>COUNTIF('Monthly Report July-26'!$Z:$Z,A43)</f>
        <v>54</v>
      </c>
      <c r="C43" s="103">
        <f>COUNTIFS('Monthly Report July-26'!$X:X,A43,'Monthly Report July-26'!F:F,"Closed")</f>
        <v>54</v>
      </c>
      <c r="D43" s="92">
        <f>COUNTIFS('Monthly Report July-26'!$Z:$Z,A43,'Monthly Report July-26'!F:F,"WIP")</f>
        <v>0</v>
      </c>
      <c r="O43"/>
    </row>
    <row r="44" spans="1:15" ht="16.5" thickBot="1">
      <c r="A44" s="110">
        <v>46208</v>
      </c>
      <c r="B44" s="103">
        <f>COUNTIF('Monthly Report July-26'!$Z:$Z,A44)</f>
        <v>0</v>
      </c>
      <c r="C44" s="103">
        <f>COUNTIFS('Monthly Report July-26'!$X:X,A44,'Monthly Report July-26'!F:F,"Closed")</f>
        <v>0</v>
      </c>
      <c r="D44" s="92">
        <f>COUNTIFS('Monthly Report July-26'!$Z:$Z,A44,'Monthly Report July-26'!F:F,"WIP")</f>
        <v>0</v>
      </c>
      <c r="H44" s="112" t="s">
        <v>1139</v>
      </c>
      <c r="O44"/>
    </row>
    <row r="45" spans="1:15">
      <c r="A45" s="110">
        <v>46209</v>
      </c>
      <c r="B45" s="103">
        <f>COUNTIF('Monthly Report July-26'!$Z:$Z,A45)</f>
        <v>46</v>
      </c>
      <c r="C45" s="103">
        <f>COUNTIFS('Monthly Report July-26'!$X:X,A45,'Monthly Report July-26'!F:F,"Closed")</f>
        <v>46</v>
      </c>
      <c r="D45" s="92">
        <f>COUNTIFS('Monthly Report July-26'!$Z:$Z,A45,'Monthly Report July-26'!F:F,"WIP")</f>
        <v>0</v>
      </c>
      <c r="H45" s="82" t="s">
        <v>1140</v>
      </c>
      <c r="I45" s="83" t="s">
        <v>1131</v>
      </c>
      <c r="J45" s="84" t="s">
        <v>1132</v>
      </c>
      <c r="O45"/>
    </row>
    <row r="46" spans="1:15">
      <c r="A46" s="110">
        <v>46210</v>
      </c>
      <c r="B46" s="103">
        <f>COUNTIF('Monthly Report July-26'!$Z:$Z,A46)</f>
        <v>38</v>
      </c>
      <c r="C46" s="103">
        <f>COUNTIFS('Monthly Report July-26'!$X:X,A46,'Monthly Report July-26'!F:F,"Closed")</f>
        <v>28</v>
      </c>
      <c r="D46" s="92">
        <f>COUNTIFS('Monthly Report July-26'!$Z:$Z,A46,'Monthly Report July-26'!F:F,"WIP")</f>
        <v>10</v>
      </c>
      <c r="H46" s="128" t="s">
        <v>141</v>
      </c>
      <c r="I46" s="103">
        <f>COUNTIFS('Monthly Report July-26'!$T:$T,H46,'Monthly Report July-26'!$F:$F,"Closed",'Monthly Report July-26'!$X:$X,"&gt;="&amp;DATE(2026,6,1),'Monthly Report July-26'!$X:$X,"&lt;="&amp;DATE(2026,6,310))</f>
        <v>228</v>
      </c>
      <c r="J46" s="104">
        <f>I46/$I$50</f>
        <v>0.26573426573426573</v>
      </c>
      <c r="O46"/>
    </row>
    <row r="47" spans="1:15">
      <c r="A47" s="110">
        <v>46211</v>
      </c>
      <c r="B47" s="103">
        <f>COUNTIF('Monthly Report July-26'!$Z:$Z,A47)</f>
        <v>12</v>
      </c>
      <c r="C47" s="103">
        <f>COUNTIFS('Monthly Report July-26'!$X:X,A47,'Monthly Report July-26'!F:F,"Closed")</f>
        <v>12</v>
      </c>
      <c r="D47" s="92">
        <f>COUNTIFS('Monthly Report July-26'!$Z:$Z,A47,'Monthly Report July-26'!F:F,"WIP")</f>
        <v>0</v>
      </c>
      <c r="H47" s="128" t="s">
        <v>130</v>
      </c>
      <c r="I47" s="103">
        <f>COUNTIFS('Monthly Report July-26'!$T:$T,H47,'Monthly Report July-26'!$F:$F,"Closed",'Monthly Report July-26'!$X:$X,"&gt;="&amp;DATE(2026,6,1),'Monthly Report July-26'!$X:$X,"&lt;="&amp;DATE(2026,6,310))</f>
        <v>524</v>
      </c>
      <c r="J47" s="104">
        <f>I47/$I$50</f>
        <v>0.61072261072261069</v>
      </c>
      <c r="O47"/>
    </row>
    <row r="48" spans="1:15">
      <c r="A48" s="110">
        <v>46212</v>
      </c>
      <c r="B48" s="103">
        <f>COUNTIF('Monthly Report July-26'!$Z:$Z,A48)</f>
        <v>10</v>
      </c>
      <c r="C48" s="103">
        <f>COUNTIFS('Monthly Report July-26'!$X:X,A48,'Monthly Report July-26'!F:F,"Closed")</f>
        <v>10</v>
      </c>
      <c r="D48" s="92">
        <f>COUNTIFS('Monthly Report July-26'!$Z:$Z,A48,'Monthly Report July-26'!F:F,"WIP")</f>
        <v>0</v>
      </c>
      <c r="H48" s="128" t="s">
        <v>474</v>
      </c>
      <c r="I48" s="103">
        <f>COUNTIFS('Monthly Report July-26'!$T:$T,H48,'Monthly Report July-26'!$F:$F,"Closed",'Monthly Report July-26'!$X:$X,"&gt;="&amp;DATE(2026,6,1),'Monthly Report July-26'!$X:$X,"&lt;="&amp;DATE(2026,6,310))</f>
        <v>106</v>
      </c>
      <c r="J48" s="104">
        <f>I48/$I$50</f>
        <v>0.12354312354312354</v>
      </c>
      <c r="O48"/>
    </row>
    <row r="49" spans="1:15">
      <c r="A49" s="110">
        <v>46213</v>
      </c>
      <c r="B49" s="103">
        <f>COUNTIF('Monthly Report July-26'!$Z:$Z,A49)</f>
        <v>23</v>
      </c>
      <c r="C49" s="103">
        <f>COUNTIFS('Monthly Report July-26'!$X:X,A49,'Monthly Report July-26'!F:F,"Closed")</f>
        <v>24</v>
      </c>
      <c r="D49" s="92">
        <f>COUNTIFS('Monthly Report July-26'!$Z:$Z,A49,'Monthly Report July-26'!F:F,"WIP")</f>
        <v>0</v>
      </c>
      <c r="H49" s="128" t="s">
        <v>1163</v>
      </c>
      <c r="I49" s="103">
        <f>COUNTIFS('Monthly Report July-26'!$T:$T,H49,'Monthly Report July-26'!$F:$F,"Closed",'Monthly Report July-26'!$X:$X,"&gt;="&amp;DATE(2026,7,1),'Monthly Report July-26'!$X:$X,"&lt;="&amp;DATE(2026,7,31))</f>
        <v>0</v>
      </c>
      <c r="J49" s="104">
        <f>I49/$I$50</f>
        <v>0</v>
      </c>
      <c r="O49"/>
    </row>
    <row r="50" spans="1:15" ht="15" thickBot="1">
      <c r="A50" s="110">
        <v>46214</v>
      </c>
      <c r="B50" s="103">
        <f>COUNTIF('Monthly Report July-26'!$Z:$Z,A50)</f>
        <v>38</v>
      </c>
      <c r="C50" s="103">
        <f>COUNTIFS('Monthly Report July-26'!$X:X,A50,'Monthly Report July-26'!F:F,"Closed")</f>
        <v>38</v>
      </c>
      <c r="D50" s="92">
        <f>COUNTIFS('Monthly Report July-26'!$Z:$Z,A50,'Monthly Report July-26'!F:F,"WIP")</f>
        <v>0</v>
      </c>
      <c r="H50" s="127" t="s">
        <v>1134</v>
      </c>
      <c r="I50" s="108">
        <f>SUM(I46:I49)</f>
        <v>858</v>
      </c>
      <c r="J50" s="109">
        <f>SUM(J46:J49)</f>
        <v>1</v>
      </c>
      <c r="O50"/>
    </row>
    <row r="51" spans="1:15">
      <c r="A51" s="110">
        <v>46215</v>
      </c>
      <c r="B51" s="103">
        <f>COUNTIF('Monthly Report July-26'!$Z:$Z,A51)</f>
        <v>0</v>
      </c>
      <c r="C51" s="103">
        <f>COUNTIFS('Monthly Report July-26'!$X:X,A51,'Monthly Report July-26'!F:F,"Closed")</f>
        <v>0</v>
      </c>
      <c r="D51" s="92">
        <f>COUNTIFS('Monthly Report July-26'!$Z:$Z,A51,'Monthly Report July-26'!F:F,"WIP")</f>
        <v>0</v>
      </c>
      <c r="O51"/>
    </row>
    <row r="52" spans="1:15">
      <c r="A52" s="110">
        <v>46216</v>
      </c>
      <c r="B52" s="103">
        <f>COUNTIF('Monthly Report July-26'!$Z:$Z,A52)</f>
        <v>25</v>
      </c>
      <c r="C52" s="103">
        <f>COUNTIFS('Monthly Report July-26'!$X:X,A52,'Monthly Report July-26'!F:F,"Closed")</f>
        <v>22</v>
      </c>
      <c r="D52" s="92">
        <f>COUNTIFS('Monthly Report July-26'!$Z:$Z,A52,'Monthly Report July-26'!F:F,"WIP")</f>
        <v>6</v>
      </c>
      <c r="O52"/>
    </row>
    <row r="53" spans="1:15" ht="16.5" thickBot="1">
      <c r="A53" s="110">
        <v>46217</v>
      </c>
      <c r="B53" s="103">
        <f>COUNTIF('Monthly Report July-26'!$Z:$Z,A53)</f>
        <v>0</v>
      </c>
      <c r="C53" s="103">
        <f>COUNTIFS('Monthly Report July-26'!$X:X,A53,'Monthly Report July-26'!F:F,"Closed")</f>
        <v>0</v>
      </c>
      <c r="D53" s="92">
        <f>COUNTIFS('Monthly Report July-26'!$Z:$Z,A53,'Monthly Report July-26'!F:F,"WIP")</f>
        <v>0</v>
      </c>
      <c r="H53" s="112" t="s">
        <v>1141</v>
      </c>
      <c r="O53"/>
    </row>
    <row r="54" spans="1:15">
      <c r="A54" s="110">
        <v>46218</v>
      </c>
      <c r="B54" s="103">
        <f>COUNTIF('Monthly Report July-26'!$Z:$Z,A54)</f>
        <v>31</v>
      </c>
      <c r="C54" s="103">
        <f>COUNTIFS('Monthly Report July-26'!$X:X,A54,'Monthly Report July-26'!F:F,"Closed")</f>
        <v>30</v>
      </c>
      <c r="D54" s="92">
        <f>COUNTIFS('Monthly Report July-26'!$Z:$Z,A54,'Monthly Report July-26'!F:F,"WIP")</f>
        <v>0</v>
      </c>
      <c r="H54" s="82" t="s">
        <v>1142</v>
      </c>
      <c r="I54" s="83" t="s">
        <v>1131</v>
      </c>
      <c r="J54" s="84" t="s">
        <v>1132</v>
      </c>
      <c r="O54"/>
    </row>
    <row r="55" spans="1:15">
      <c r="A55" s="110">
        <v>46219</v>
      </c>
      <c r="B55" s="103">
        <f>COUNTIF('Monthly Report July-26'!$Z:$Z,A55)</f>
        <v>28</v>
      </c>
      <c r="C55" s="103">
        <f>COUNTIFS('Monthly Report July-26'!$X:X,A55,'Monthly Report July-26'!F:F,"Closed")</f>
        <v>110</v>
      </c>
      <c r="D55" s="92">
        <f>COUNTIFS('Monthly Report July-26'!$Z:$Z,A55,'Monthly Report July-26'!F:F,"WIP")</f>
        <v>0</v>
      </c>
      <c r="H55" s="114" t="s">
        <v>1143</v>
      </c>
      <c r="I55" s="103">
        <f>COUNTIFS('Monthly Report July-26'!$Y:$Y,"&gt;=0",'Monthly Report July-26'!$Y:$Y,"&lt;=3",'Monthly Report July-26'!$F:$F,"Closed",'Monthly Report July-26'!$X:$X,"&gt;="&amp;DATE(2026,7,1),'Monthly Report July-26'!$X:$X,"&lt;="&amp;DATE(2026,7,31))</f>
        <v>92</v>
      </c>
      <c r="J55" s="104">
        <f>I55/$I$60</f>
        <v>0.16140350877192983</v>
      </c>
      <c r="O55"/>
    </row>
    <row r="56" spans="1:15">
      <c r="A56" s="110">
        <v>46220</v>
      </c>
      <c r="B56" s="103">
        <f>COUNTIF('Monthly Report July-26'!$Z:$Z,A56)</f>
        <v>29</v>
      </c>
      <c r="C56" s="103">
        <f>COUNTIFS('Monthly Report July-26'!$X:X,A56,'Monthly Report July-26'!F:F,"Closed")</f>
        <v>31</v>
      </c>
      <c r="D56" s="92">
        <f>COUNTIFS('Monthly Report July-26'!$Z:$Z,A56,'Monthly Report July-26'!F:F,"WIP")</f>
        <v>0</v>
      </c>
      <c r="H56" s="114" t="s">
        <v>1144</v>
      </c>
      <c r="I56" s="103">
        <f>COUNTIFS('Monthly Report July-26'!$Y:$Y,"&gt;=4",'Monthly Report July-26'!$Y:$Y,"&lt;=7",'Monthly Report July-26'!$F:$F,"Closed",'Monthly Report July-26'!$X:$X,"&gt;="&amp;DATE(2026,7,1),'Monthly Report July-26'!$X:$X,"&lt;="&amp;DATE(2026,7,31))</f>
        <v>1</v>
      </c>
      <c r="J56" s="104">
        <f>I56/$I$60</f>
        <v>1.7543859649122807E-3</v>
      </c>
      <c r="O56"/>
    </row>
    <row r="57" spans="1:15">
      <c r="A57" s="110">
        <v>46221</v>
      </c>
      <c r="B57" s="103">
        <f>COUNTIF('Monthly Report July-26'!$Z:$Z,A57)</f>
        <v>1</v>
      </c>
      <c r="C57" s="103">
        <f>COUNTIFS('Monthly Report July-26'!$X:X,A57,'Monthly Report July-26'!F:F,"Closed")</f>
        <v>1</v>
      </c>
      <c r="D57" s="92">
        <f>COUNTIFS('Monthly Report July-26'!$Z:$Z,A57,'Monthly Report July-26'!F:F,"WIP")</f>
        <v>0</v>
      </c>
      <c r="H57" s="114" t="s">
        <v>1145</v>
      </c>
      <c r="I57" s="103">
        <f>COUNTIFS('Monthly Report July-26'!$Y:$Y,"&gt;=8",'Monthly Report July-26'!$Y:$Y,"&lt;=15",'Monthly Report July-26'!$F:$F,"Closed",'Monthly Report July-26'!$X:$X,"&gt;="&amp;DATE(2026,7,1),'Monthly Report July-26'!$X:$X,"&lt;="&amp;DATE(2026,7,31))</f>
        <v>22</v>
      </c>
      <c r="J57" s="104">
        <f>I57/$I$60</f>
        <v>3.8596491228070177E-2</v>
      </c>
      <c r="O57"/>
    </row>
    <row r="58" spans="1:15">
      <c r="A58" s="110">
        <v>46222</v>
      </c>
      <c r="B58" s="103">
        <f>COUNTIF('Monthly Report July-26'!$Z:$Z,A58)</f>
        <v>0</v>
      </c>
      <c r="C58" s="103">
        <f>COUNTIFS('Monthly Report July-26'!$X:X,A58,'Monthly Report July-26'!F:F,"Closed")</f>
        <v>0</v>
      </c>
      <c r="D58" s="92">
        <f>COUNTIFS('Monthly Report July-26'!$Z:$Z,A58,'Monthly Report July-26'!F:F,"WIP")</f>
        <v>0</v>
      </c>
      <c r="H58" s="114" t="s">
        <v>1146</v>
      </c>
      <c r="I58" s="103">
        <f>COUNTIFS('Monthly Report July-26'!$Y:$Y,"&gt;=16",'Monthly Report July-26'!$Y:$Y,"&lt;=30",'Monthly Report July-26'!$F:$F,"Closed",'Monthly Report July-26'!$X:$X,"&gt;="&amp;DATE(2026,7,1),'Monthly Report July-26'!$X:$X,"&lt;="&amp;DATE(2026,7,31))</f>
        <v>170</v>
      </c>
      <c r="J58" s="104">
        <f>I58/$I$60</f>
        <v>0.2982456140350877</v>
      </c>
      <c r="O58"/>
    </row>
    <row r="59" spans="1:15">
      <c r="A59" s="110">
        <v>46223</v>
      </c>
      <c r="B59" s="103">
        <f>COUNTIF('Monthly Report July-26'!$Z:$Z,A59)</f>
        <v>3</v>
      </c>
      <c r="C59" s="103">
        <f>COUNTIFS('Monthly Report July-26'!$X:X,A59,'Monthly Report July-26'!F:F,"Closed")</f>
        <v>3</v>
      </c>
      <c r="D59" s="92">
        <f>COUNTIFS('Monthly Report July-26'!$Z:$Z,A59,'Monthly Report July-26'!F:F,"WIP")</f>
        <v>0</v>
      </c>
      <c r="H59" s="114" t="s">
        <v>1147</v>
      </c>
      <c r="I59" s="103">
        <f>COUNTIFS('Monthly Report July-26'!$Y:$Y,"&lt;=30",'Monthly Report July-26'!$F:$F,"Closed",'Monthly Report July-26'!$X:$X,"&gt;="&amp;DATE(2026,7,1),'Monthly Report July-26'!$X:$X,"&lt;="&amp;DATE(2026,7,31))</f>
        <v>285</v>
      </c>
      <c r="J59" s="104">
        <f>I59/$I$60</f>
        <v>0.5</v>
      </c>
      <c r="O59"/>
    </row>
    <row r="60" spans="1:15" ht="15" thickBot="1">
      <c r="A60" s="110">
        <v>46224</v>
      </c>
      <c r="B60" s="103">
        <f>COUNTIF('Monthly Report July-26'!$Z:$Z,A60)</f>
        <v>31</v>
      </c>
      <c r="C60" s="103">
        <f>COUNTIFS('Monthly Report July-26'!$X:X,A60,'Monthly Report July-26'!F:F,"Closed")</f>
        <v>31</v>
      </c>
      <c r="D60" s="92">
        <f>COUNTIFS('Monthly Report July-26'!$Z:$Z,A60,'Monthly Report July-26'!F:F,"WIP")</f>
        <v>0</v>
      </c>
      <c r="H60" s="107" t="s">
        <v>1134</v>
      </c>
      <c r="I60" s="108">
        <f>SUM(I55:I59)</f>
        <v>570</v>
      </c>
      <c r="J60" s="109">
        <f>SUM(J55:J59)</f>
        <v>1</v>
      </c>
      <c r="O60"/>
    </row>
    <row r="61" spans="1:15">
      <c r="A61" s="110">
        <v>46225</v>
      </c>
      <c r="B61" s="103">
        <f>COUNTIF('Monthly Report July-26'!$Z:$Z,A61)</f>
        <v>17</v>
      </c>
      <c r="C61" s="103">
        <f>COUNTIFS('Monthly Report July-26'!$X:X,A61,'Monthly Report July-26'!F:F,"Closed")</f>
        <v>17</v>
      </c>
      <c r="D61" s="92">
        <f>COUNTIFS('Monthly Report July-26'!$Z:$Z,A61,'Monthly Report July-26'!F:F,"WIP")</f>
        <v>0</v>
      </c>
      <c r="H61" s="86" t="s">
        <v>1148</v>
      </c>
      <c r="I61" s="115">
        <f>ROUND(AVERAGEIFS('Monthly Report July-26'!$Y:$Y,'Monthly Report July-26'!$Y:$Y,"&gt;=0",'Monthly Report July-26'!$F:$F,"Closed",'Monthly Report July-26'!$X:$X,"&gt;="&amp;DATE(2026,7,1),'Monthly Report July-26'!X:X,"&lt;="&amp;DATE(2026,7,31)),1)</f>
        <v>64.099999999999994</v>
      </c>
      <c r="O61"/>
    </row>
    <row r="62" spans="1:15">
      <c r="A62" s="110">
        <v>46226</v>
      </c>
      <c r="B62" s="103">
        <f>COUNTIF('Monthly Report July-26'!$Z:$Z,A62)</f>
        <v>25</v>
      </c>
      <c r="C62" s="103">
        <f>COUNTIFS('Monthly Report July-26'!$X:X,A62,'Monthly Report July-26'!F:F,"Closed")</f>
        <v>25</v>
      </c>
      <c r="D62" s="92">
        <f>COUNTIFS('Monthly Report July-26'!$Z:$Z,A62,'Monthly Report July-26'!F:F,"WIP")</f>
        <v>0</v>
      </c>
      <c r="O62"/>
    </row>
    <row r="63" spans="1:15">
      <c r="A63" s="110">
        <v>46227</v>
      </c>
      <c r="B63" s="103">
        <f>COUNTIF('Monthly Report July-26'!$Z:$Z,A63)</f>
        <v>33</v>
      </c>
      <c r="C63" s="103">
        <f>COUNTIFS('Monthly Report July-26'!$X:X,A63,'Monthly Report July-26'!F:F,"Closed")</f>
        <v>33</v>
      </c>
      <c r="D63" s="92">
        <f>COUNTIFS('Monthly Report July-26'!$Z:$Z,A63,'Monthly Report July-26'!F:F,"WIP")</f>
        <v>0</v>
      </c>
      <c r="O63"/>
    </row>
    <row r="64" spans="1:15" ht="15" thickBot="1">
      <c r="A64" s="110">
        <v>46228</v>
      </c>
      <c r="B64" s="103">
        <f>COUNTIF('Monthly Report July-26'!$Z:$Z,A64)</f>
        <v>27</v>
      </c>
      <c r="C64" s="103">
        <f>COUNTIFS('Monthly Report July-26'!$X:X,A64,'Monthly Report July-26'!F:F,"Closed")</f>
        <v>27</v>
      </c>
      <c r="D64" s="92">
        <f>COUNTIFS('Monthly Report July-26'!$Z:$Z,A64,'Monthly Report July-26'!F:F,"WIP")</f>
        <v>0</v>
      </c>
      <c r="O64"/>
    </row>
    <row r="65" spans="1:15" ht="15" thickBot="1">
      <c r="A65" s="110">
        <v>46229</v>
      </c>
      <c r="B65" s="103">
        <f>COUNTIF('Monthly Report July-26'!$Z:$Z,A65)</f>
        <v>0</v>
      </c>
      <c r="C65" s="103">
        <f>COUNTIFS('Monthly Report July-26'!$X:X,A65,'Monthly Report July-26'!F:F,"Closed")</f>
        <v>0</v>
      </c>
      <c r="D65" s="92">
        <f>COUNTIFS('Monthly Report July-26'!$Z:$Z,A65,'Monthly Report July-26'!F:F,"WIP")</f>
        <v>0</v>
      </c>
      <c r="H65" s="149" t="s">
        <v>1189</v>
      </c>
      <c r="I65" s="150" t="s">
        <v>1196</v>
      </c>
      <c r="J65" s="149" t="s">
        <v>19</v>
      </c>
      <c r="K65" s="151" t="s">
        <v>38</v>
      </c>
      <c r="O65"/>
    </row>
    <row r="66" spans="1:15">
      <c r="A66" s="110">
        <v>46230</v>
      </c>
      <c r="B66" s="103">
        <f>COUNTIF('Monthly Report July-26'!$Z:$Z,A66)</f>
        <v>44</v>
      </c>
      <c r="C66" s="103">
        <f>COUNTIFS('Monthly Report July-26'!$X:X,A66,'Monthly Report July-26'!F:F,"Closed")</f>
        <v>44</v>
      </c>
      <c r="D66" s="92">
        <f>COUNTIFS('Monthly Report July-26'!$Z:$Z,A66,'Monthly Report July-26'!F:F,"WIP")</f>
        <v>0</v>
      </c>
      <c r="H66" s="145" t="s">
        <v>1197</v>
      </c>
      <c r="I66" s="103">
        <f>COUNTIFS('Monthly Report July-26'!$Z:$Z,"&gt;="&amp;DATE(2026,7,1),'Monthly Report July-26'!$Z:$Z,"&lt;="&amp;DATE(2026,7,7))</f>
        <v>275</v>
      </c>
      <c r="J66" s="146">
        <f>COUNTIFS('Monthly Report July-26'!$X:$X,"&gt;="&amp;DATE(2026,7,1),'Monthly Report July-26'!$X:$X,"&lt;="&amp;DATE(2026,7,7),'Monthly Report July-26'!$F:$F,"Closed")</f>
        <v>265</v>
      </c>
      <c r="K66" s="92">
        <f>COUNTIFS('Monthly Report July-26'!$Z:$Z,"&gt;="&amp;DATE(2026,7,1),'Monthly Report July-26'!$Z:$Z,"&lt;="&amp;DATE(2026,7,7),'Monthly Report July-26'!$F:$F,"WIP")</f>
        <v>10</v>
      </c>
      <c r="O66"/>
    </row>
    <row r="67" spans="1:15">
      <c r="A67" s="110">
        <v>46231</v>
      </c>
      <c r="B67" s="103">
        <f>COUNTIF('Monthly Report July-26'!$Z:$Z,A67)</f>
        <v>41</v>
      </c>
      <c r="C67" s="103">
        <f>COUNTIFS('Monthly Report July-26'!$X:X,A67,'Monthly Report July-26'!F:F,"Closed")</f>
        <v>34</v>
      </c>
      <c r="D67" s="92">
        <f>COUNTIFS('Monthly Report July-26'!$Z:$Z,A67,'Monthly Report July-26'!F:F,"WIP")</f>
        <v>7</v>
      </c>
      <c r="H67" s="145" t="s">
        <v>1199</v>
      </c>
      <c r="I67" s="103">
        <f>COUNTIFS('Monthly Report July-26'!$Z:$Z,"&gt;="&amp;DATE(2026,7,8),'Monthly Report July-26'!$Z:$Z,"&lt;="&amp;DATE(2026,7,14))</f>
        <v>108</v>
      </c>
      <c r="J67" s="146">
        <f>COUNTIFS('Monthly Report July-26'!$X:$X,"&gt;="&amp;DATE(2026,7,8),'Monthly Report July-26'!$X:$X,"&lt;="&amp;DATE(2026,7,14),'Monthly Report July-26'!$F:$F,"Closed")</f>
        <v>106</v>
      </c>
      <c r="K67" s="92">
        <f>COUNTIFS('Monthly Report July-26'!$Z:$Z,"&gt;="&amp;DATE(2026,7,8),'Monthly Report July-26'!$Z:$Z,"&lt;="&amp;DATE(2026,7,14),'Monthly Report July-26'!$F:$F,"WIP")</f>
        <v>6</v>
      </c>
      <c r="O67"/>
    </row>
    <row r="68" spans="1:15">
      <c r="A68" s="110">
        <v>46232</v>
      </c>
      <c r="B68" s="103">
        <f>COUNTIF('Monthly Report July-26'!$Z:$Z,A68)</f>
        <v>33</v>
      </c>
      <c r="C68" s="103">
        <f>COUNTIFS('Monthly Report July-26'!$X:X,A68,'Monthly Report July-26'!F:F,"Closed")</f>
        <v>33</v>
      </c>
      <c r="D68" s="92">
        <f>COUNTIFS('Monthly Report July-26'!$Z:$Z,A68,'Monthly Report July-26'!F:F,"WIP")</f>
        <v>0</v>
      </c>
      <c r="H68" s="145" t="s">
        <v>1198</v>
      </c>
      <c r="I68" s="103">
        <f>COUNTIFS('Monthly Report July-26'!$Z:$Z,"&gt;="&amp;DATE(2026,7,15),'Monthly Report July-26'!$Z:$Z,"&lt;="&amp;DATE(2026,7,21))</f>
        <v>123</v>
      </c>
      <c r="J68" s="146">
        <f>COUNTIFS('Monthly Report July-26'!$X:$X,"&gt;="&amp;DATE(2026,7,15),'Monthly Report July-26'!$X:$X,"&lt;="&amp;DATE(2026,7,21),'Monthly Report July-26'!$F:$F,"Closed")</f>
        <v>206</v>
      </c>
      <c r="K68" s="92">
        <f>COUNTIFS('Monthly Report July-26'!$Z:$Z,"&gt;="&amp;DATE(2026,7,15),'Monthly Report July-26'!$Z:$Z,"&lt;="&amp;DATE(2026,7,21),'Monthly Report July-26'!$F:$F,"WIP")</f>
        <v>0</v>
      </c>
      <c r="O68"/>
    </row>
    <row r="69" spans="1:15" ht="15" thickBot="1">
      <c r="A69" s="110">
        <v>46233</v>
      </c>
      <c r="B69" s="103">
        <f>COUNTIF('Monthly Report July-26'!$Z:$Z,A69)</f>
        <v>27</v>
      </c>
      <c r="C69" s="103">
        <f>COUNTIFS('Monthly Report July-26'!$X:X,A69,'Monthly Report July-26'!F:F,"Closed")</f>
        <v>27</v>
      </c>
      <c r="D69" s="92">
        <f>COUNTIFS('Monthly Report July-26'!$Z:$Z,A69,'Monthly Report July-26'!F:F,"WIP")</f>
        <v>0</v>
      </c>
      <c r="H69" s="147" t="s">
        <v>1200</v>
      </c>
      <c r="I69" s="95">
        <f>COUNTIFS('Monthly Report July-26'!$Z:$Z,"&gt;="&amp;DATE(2026,7,22),'Monthly Report July-26'!$Z:$Z,"&lt;="&amp;DATE(2026,7,31))</f>
        <v>288</v>
      </c>
      <c r="J69" s="148">
        <f>COUNTIFS('Monthly Report July-26'!$X:$X,"&gt;="&amp;DATE(2026,7,22),'Monthly Report July-26'!$X:$X,"&lt;="&amp;DATE(2026,7,31),'Monthly Report July-26'!$F:$F,"Closed")</f>
        <v>281</v>
      </c>
      <c r="K69" s="97">
        <f>COUNTIFS('Monthly Report July-26'!$Z:$Z,"&gt;="&amp;DATE(2026,7,22),'Monthly Report July-26'!$Z:$Z,"&lt;="&amp;DATE(2026,7,31),'Monthly Report July-26'!$F:$F,"WIP")</f>
        <v>7</v>
      </c>
      <c r="O69"/>
    </row>
    <row r="70" spans="1:15" ht="15" thickBot="1">
      <c r="A70" s="116">
        <v>46234</v>
      </c>
      <c r="B70" s="95">
        <f>COUNTIF('Monthly Report July-26'!$Z:$Z,A70)</f>
        <v>41</v>
      </c>
      <c r="C70" s="95">
        <f>COUNTIFS('Monthly Report July-26'!$X:X,A70,'Monthly Report July-26'!F:F,"Closed")</f>
        <v>41</v>
      </c>
      <c r="D70" s="97">
        <f>COUNTIFS('Monthly Report July-26'!$Z:$Z,A70,'Monthly Report July-26'!F:F,"WIP")</f>
        <v>0</v>
      </c>
      <c r="K70" s="98"/>
      <c r="O70"/>
    </row>
    <row r="71" spans="1:15">
      <c r="D71" s="98"/>
      <c r="O71"/>
    </row>
    <row r="72" spans="1:15" ht="16.5" thickBot="1">
      <c r="A72" s="175" t="s">
        <v>1166</v>
      </c>
      <c r="B72" s="175"/>
      <c r="C72" s="175"/>
      <c r="D72" s="175"/>
      <c r="E72" s="175"/>
      <c r="O72"/>
    </row>
    <row r="73" spans="1:15">
      <c r="A73" s="117" t="s">
        <v>1149</v>
      </c>
      <c r="B73" s="118" t="s">
        <v>129</v>
      </c>
      <c r="C73" s="118" t="s">
        <v>464</v>
      </c>
      <c r="D73" s="118" t="s">
        <v>140</v>
      </c>
      <c r="E73" s="119" t="s">
        <v>1150</v>
      </c>
      <c r="O73"/>
    </row>
    <row r="74" spans="1:15">
      <c r="A74" t="s">
        <v>127</v>
      </c>
      <c r="B74" s="120">
        <f>COUNTIFS('Monthly Report July-26'!$N:$N,A74,'Monthly Report July-26'!$S:$S,B$73,'Monthly Report July-26'!$AD:$AD,"Closed in July")</f>
        <v>19</v>
      </c>
      <c r="C74" s="120">
        <f>COUNTIFS('Monthly Report July-26'!$N:$N,$A74,'Monthly Report July-26'!$S:$S,C$73,'Monthly Report July-26'!$AD:$AD,"Closed in July")</f>
        <v>5</v>
      </c>
      <c r="D74" s="120">
        <f>COUNTIFS('Monthly Report July-26'!$N:$N,$A74,'Monthly Report July-26'!$S:$S,D$73,'Monthly Report July-26'!$AD:$AD,"Closed in July")</f>
        <v>14</v>
      </c>
      <c r="E74" s="121">
        <f t="shared" ref="E74:E89" si="1">SUM(B74:D74)</f>
        <v>38</v>
      </c>
      <c r="O74"/>
    </row>
    <row r="75" spans="1:15">
      <c r="A75" t="s">
        <v>138</v>
      </c>
      <c r="B75" s="120">
        <f>COUNTIFS('Monthly Report July-26'!$N:$N,A75,'Monthly Report July-26'!$S:$S,B$73,'Monthly Report July-26'!$AD:$AD,"Closed in July")</f>
        <v>468</v>
      </c>
      <c r="C75" s="120">
        <f>COUNTIFS('Monthly Report July-26'!$N:$N,$A75,'Monthly Report July-26'!$S:$S,C$73,'Monthly Report July-26'!$AD:$AD,"Closed in July")</f>
        <v>3</v>
      </c>
      <c r="D75" s="120">
        <f>COUNTIFS('Monthly Report July-26'!$N:$N,$A75,'Monthly Report July-26'!$S:$S,D$73,'Monthly Report July-26'!$AD:$AD,"Closed in July")</f>
        <v>210</v>
      </c>
      <c r="E75" s="121">
        <f t="shared" si="1"/>
        <v>681</v>
      </c>
      <c r="O75"/>
    </row>
    <row r="76" spans="1:15">
      <c r="A76" t="s">
        <v>255</v>
      </c>
      <c r="B76" s="120">
        <f>COUNTIFS('Monthly Report July-26'!$N:$N,A76,'Monthly Report July-26'!$S:$S,B$73,'Monthly Report July-26'!$AD:$AD,"Closed in July")</f>
        <v>2</v>
      </c>
      <c r="C76" s="120">
        <f>COUNTIFS('Monthly Report July-26'!$N:$N,$A76,'Monthly Report July-26'!$S:$S,C$73,'Monthly Report July-26'!$AD:$AD,"Closed in July")</f>
        <v>0</v>
      </c>
      <c r="D76" s="120">
        <f>COUNTIFS('Monthly Report July-26'!$N:$N,$A76,'Monthly Report July-26'!$S:$S,D$73,'Monthly Report July-26'!$AD:$AD,"Closed in July")</f>
        <v>0</v>
      </c>
      <c r="E76" s="121">
        <f t="shared" si="1"/>
        <v>2</v>
      </c>
      <c r="O76"/>
    </row>
    <row r="77" spans="1:15">
      <c r="A77" t="s">
        <v>277</v>
      </c>
      <c r="B77" s="120">
        <f>COUNTIFS('Monthly Report July-26'!$N:$N,A77,'Monthly Report July-26'!$S:$S,B$73,'Monthly Report July-26'!$AD:$AD,"Closed in July")</f>
        <v>9</v>
      </c>
      <c r="C77" s="120">
        <f>COUNTIFS('Monthly Report July-26'!$N:$N,$A77,'Monthly Report July-26'!$S:$S,C$73,'Monthly Report July-26'!$AD:$AD,"Closed in July")</f>
        <v>0</v>
      </c>
      <c r="D77" s="120">
        <f>COUNTIFS('Monthly Report July-26'!$N:$N,$A77,'Monthly Report July-26'!$S:$S,D$73,'Monthly Report July-26'!$AD:$AD,"Closed in July")</f>
        <v>2</v>
      </c>
      <c r="E77" s="121">
        <f t="shared" si="1"/>
        <v>11</v>
      </c>
      <c r="O77"/>
    </row>
    <row r="78" spans="1:15">
      <c r="A78" t="s">
        <v>312</v>
      </c>
      <c r="B78" s="120">
        <f>COUNTIFS('Monthly Report July-26'!$N:$N,A78,'Monthly Report July-26'!$S:$S,B$73,'Monthly Report July-26'!$AD:$AD,"Closed in July")</f>
        <v>2</v>
      </c>
      <c r="C78" s="120">
        <f>COUNTIFS('Monthly Report July-26'!$N:$N,$A78,'Monthly Report July-26'!$S:$S,C$73,'Monthly Report July-26'!$AD:$AD,"Closed in July")</f>
        <v>0</v>
      </c>
      <c r="D78" s="120">
        <f>COUNTIFS('Monthly Report July-26'!$N:$N,$A78,'Monthly Report July-26'!$S:$S,D$73,'Monthly Report July-26'!$AD:$AD,"Closed in July")</f>
        <v>4</v>
      </c>
      <c r="E78" s="121">
        <f t="shared" si="1"/>
        <v>6</v>
      </c>
      <c r="O78"/>
    </row>
    <row r="79" spans="1:15">
      <c r="A79" t="s">
        <v>431</v>
      </c>
      <c r="B79" s="120">
        <f>COUNTIFS('Monthly Report July-26'!$N:$N,A79,'Monthly Report July-26'!$S:$S,B$73,'Monthly Report July-26'!$AD:$AD,"Closed in July")</f>
        <v>0</v>
      </c>
      <c r="C79" s="120">
        <f>COUNTIFS('Monthly Report July-26'!$N:$N,$A79,'Monthly Report July-26'!$S:$S,C$73,'Monthly Report July-26'!$AD:$AD,"Closed in July")</f>
        <v>0</v>
      </c>
      <c r="D79" s="120">
        <f>COUNTIFS('Monthly Report July-26'!$N:$N,$A79,'Monthly Report July-26'!$S:$S,D$73,'Monthly Report July-26'!$AD:$AD,"Closed in July")</f>
        <v>0</v>
      </c>
      <c r="E79" s="121">
        <f t="shared" si="1"/>
        <v>0</v>
      </c>
      <c r="O79"/>
    </row>
    <row r="80" spans="1:15">
      <c r="A80" t="s">
        <v>472</v>
      </c>
      <c r="B80" s="120">
        <f>COUNTIFS('Monthly Report July-26'!$N:$N,A80,'Monthly Report July-26'!$S:$S,B$73,'Monthly Report July-26'!$AD:$AD,"Closed in July")</f>
        <v>0</v>
      </c>
      <c r="C80" s="120">
        <f>COUNTIFS('Monthly Report July-26'!$N:$N,$A80,'Monthly Report July-26'!$S:$S,C$73,'Monthly Report July-26'!$AD:$AD,"Closed in July")</f>
        <v>0</v>
      </c>
      <c r="D80" s="120">
        <f>COUNTIFS('Monthly Report July-26'!$N:$N,$A80,'Monthly Report July-26'!$S:$S,D$73,'Monthly Report July-26'!$AD:$AD,"Closed in July")</f>
        <v>22</v>
      </c>
      <c r="E80" s="121">
        <f t="shared" si="1"/>
        <v>22</v>
      </c>
      <c r="O80"/>
    </row>
    <row r="81" spans="1:15">
      <c r="A81" t="s">
        <v>1108</v>
      </c>
      <c r="B81" s="120">
        <f>COUNTIFS('Monthly Report July-26'!$N:$N,A81,'Monthly Report July-26'!$S:$S,B$73,'Monthly Report July-26'!$AD:$AD,"Closed in July")</f>
        <v>0</v>
      </c>
      <c r="C81" s="120">
        <f>COUNTIFS('Monthly Report July-26'!$N:$N,$A81,'Monthly Report July-26'!$S:$S,C$73,'Monthly Report July-26'!$AD:$AD,"Closed in July")</f>
        <v>1</v>
      </c>
      <c r="D81" s="120">
        <f>COUNTIFS('Monthly Report July-26'!$N:$N,$A81,'Monthly Report July-26'!$S:$S,D$73,'Monthly Report July-26'!$AD:$AD,"Closed in July")</f>
        <v>81</v>
      </c>
      <c r="E81" s="121">
        <f t="shared" si="1"/>
        <v>82</v>
      </c>
      <c r="O81"/>
    </row>
    <row r="82" spans="1:15">
      <c r="A82" t="s">
        <v>547</v>
      </c>
      <c r="B82" s="120">
        <f>COUNTIFS('Monthly Report July-26'!$N:$N,A82,'Monthly Report July-26'!$S:$S,B$73,'Monthly Report July-26'!$AD:$AD,"Closed in July")</f>
        <v>0</v>
      </c>
      <c r="C82" s="120">
        <f>COUNTIFS('Monthly Report July-26'!$N:$N,$A82,'Monthly Report July-26'!$S:$S,C$73,'Monthly Report July-26'!$AD:$AD,"Closed in July")</f>
        <v>8</v>
      </c>
      <c r="D82" s="120">
        <f>COUNTIFS('Monthly Report July-26'!$N:$N,$A82,'Monthly Report July-26'!$S:$S,D$73,'Monthly Report July-26'!$AD:$AD,"Closed in July")</f>
        <v>0</v>
      </c>
      <c r="E82" s="121">
        <f t="shared" si="1"/>
        <v>8</v>
      </c>
      <c r="O82"/>
    </row>
    <row r="83" spans="1:15" hidden="1">
      <c r="A83" t="s">
        <v>559</v>
      </c>
      <c r="B83" s="120">
        <f>COUNTIFS('Monthly Report July-26'!$N:$N,A83,'Monthly Report July-26'!$S:$S,B$73,'Monthly Report July-26'!$AD:$AD,"Closed in July")</f>
        <v>0</v>
      </c>
      <c r="C83" s="120">
        <f>COUNTIFS('Monthly Report July-26'!$N:$N,$A83,'Monthly Report July-26'!$S:$S,C$73,'Monthly Report July-26'!$AD:$AD,"Closed in July")</f>
        <v>0</v>
      </c>
      <c r="D83" s="120">
        <f>COUNTIFS('Monthly Report July-26'!$N:$N,$A83,'Monthly Report July-26'!$S:$S,D$73,'Monthly Report July-26'!$AD:$AD,"Closed in July")</f>
        <v>1</v>
      </c>
      <c r="E83" s="121">
        <f t="shared" si="1"/>
        <v>1</v>
      </c>
      <c r="O83"/>
    </row>
    <row r="84" spans="1:15" hidden="1">
      <c r="A84" t="s">
        <v>563</v>
      </c>
      <c r="B84" s="120">
        <f>COUNTIFS('Monthly Report July-26'!$N:$N,A84,'Monthly Report July-26'!$S:$S,B$73,'Monthly Report July-26'!$AD:$AD,"Closed in July")</f>
        <v>0</v>
      </c>
      <c r="C84" s="120">
        <f>COUNTIFS('Monthly Report July-26'!$N:$N,$A84,'Monthly Report July-26'!$S:$S,C$73,'Monthly Report July-26'!$AD:$AD,"Closed in July")</f>
        <v>2</v>
      </c>
      <c r="D84" s="120">
        <f>COUNTIFS('Monthly Report July-26'!$N:$N,$A84,'Monthly Report July-26'!$S:$S,D$73,'Monthly Report July-26'!$AD:$AD,"Closed in July")</f>
        <v>0</v>
      </c>
      <c r="E84" s="121">
        <f t="shared" si="1"/>
        <v>2</v>
      </c>
      <c r="O84"/>
    </row>
    <row r="85" spans="1:15" hidden="1">
      <c r="A85" t="s">
        <v>125</v>
      </c>
      <c r="B85" s="120">
        <f>COUNTIFS('Monthly Report July-26'!$N:$N,A85,'Monthly Report July-26'!$S:$S,B$73,'Monthly Report July-26'!$AD:$AD,"Closed in July")</f>
        <v>0</v>
      </c>
      <c r="C85" s="120">
        <f>COUNTIFS('Monthly Report July-26'!$N:$N,$A85,'Monthly Report July-26'!$S:$S,C$73,'Monthly Report July-26'!$AD:$AD,"Closed in July")</f>
        <v>0</v>
      </c>
      <c r="D85" s="120">
        <f>COUNTIFS('Monthly Report July-26'!$N:$N,$A85,'Monthly Report July-26'!$S:$S,D$73,'Monthly Report July-26'!$AD:$AD,"Closed in July")</f>
        <v>0</v>
      </c>
      <c r="E85" s="121">
        <f t="shared" si="1"/>
        <v>0</v>
      </c>
      <c r="O85"/>
    </row>
    <row r="86" spans="1:15" hidden="1">
      <c r="A86" t="s">
        <v>705</v>
      </c>
      <c r="B86" s="120">
        <f>COUNTIFS('Monthly Report July-26'!$N:$N,A86,'Monthly Report July-26'!$S:$S,B$73,'Monthly Report July-26'!$AD:$AD,"Closed in July")</f>
        <v>1</v>
      </c>
      <c r="C86" s="120">
        <f>COUNTIFS('Monthly Report July-26'!$N:$N,$A86,'Monthly Report July-26'!$S:$S,C$73,'Monthly Report July-26'!$AD:$AD,"Closed in July")</f>
        <v>0</v>
      </c>
      <c r="D86" s="120">
        <f>COUNTIFS('Monthly Report July-26'!$N:$N,$A86,'Monthly Report July-26'!$S:$S,D$73,'Monthly Report July-26'!$AD:$AD,"Closed in July")</f>
        <v>0</v>
      </c>
      <c r="E86" s="121">
        <f t="shared" si="1"/>
        <v>1</v>
      </c>
      <c r="O86"/>
    </row>
    <row r="87" spans="1:15" hidden="1">
      <c r="A87" t="s">
        <v>710</v>
      </c>
      <c r="B87" s="120">
        <f>COUNTIFS('Monthly Report July-26'!$N:$N,A87,'Monthly Report July-26'!$S:$S,B$73,'Monthly Report July-26'!$AD:$AD,"Closed in July")</f>
        <v>2</v>
      </c>
      <c r="C87" s="120">
        <f>COUNTIFS('Monthly Report July-26'!$N:$N,$A87,'Monthly Report July-26'!$S:$S,C$73,'Monthly Report July-26'!$AD:$AD,"Closed in July")</f>
        <v>0</v>
      </c>
      <c r="D87" s="120">
        <f>COUNTIFS('Monthly Report July-26'!$N:$N,$A87,'Monthly Report July-26'!$S:$S,D$73,'Monthly Report July-26'!$AD:$AD,"Closed in July")</f>
        <v>0</v>
      </c>
      <c r="E87" s="121">
        <f t="shared" si="1"/>
        <v>2</v>
      </c>
      <c r="O87"/>
    </row>
    <row r="88" spans="1:15" hidden="1">
      <c r="A88" t="s">
        <v>1111</v>
      </c>
      <c r="B88" s="120">
        <f>COUNTIFS('Monthly Report July-26'!$N:$N,A88,'Monthly Report July-26'!$S:$S,B$73,'Monthly Report July-26'!$AD:$AD,"Closed in July")</f>
        <v>2</v>
      </c>
      <c r="C88" s="120">
        <f>COUNTIFS('Monthly Report July-26'!$N:$N,$A88,'Monthly Report July-26'!$S:$S,C$73,'Monthly Report July-26'!$AD:$AD,"Closed in July")</f>
        <v>0</v>
      </c>
      <c r="D88" s="120">
        <f>COUNTIFS('Monthly Report July-26'!$N:$N,$A88,'Monthly Report July-26'!$S:$S,D$73,'Monthly Report July-26'!$AD:$AD,"Closed in July")</f>
        <v>0</v>
      </c>
      <c r="E88" s="121">
        <f t="shared" si="1"/>
        <v>2</v>
      </c>
      <c r="O88"/>
    </row>
    <row r="89" spans="1:15" hidden="1">
      <c r="A89" s="122" t="s">
        <v>1152</v>
      </c>
      <c r="B89" s="120">
        <f>COUNTIFS('Monthly Report July-26'!$N:$N,A89,'Monthly Report July-26'!$S:$S,B$73,'Monthly Report July-26'!$AD:$AD,"Closed in July")</f>
        <v>0</v>
      </c>
      <c r="C89" s="120">
        <f>COUNTIFS('Monthly Report July-26'!$N:$N,$A89,'Monthly Report July-26'!$S:$S,C$73,'Monthly Report July-26'!$AD:$AD,"Closed in July")</f>
        <v>0</v>
      </c>
      <c r="D89" s="120">
        <f>COUNTIFS('Monthly Report July-26'!$N:$N,$A89,'Monthly Report July-26'!$S:$S,D$73,'Monthly Report July-26'!$AD:$AD,"Closed in July")</f>
        <v>0</v>
      </c>
      <c r="E89" s="121">
        <f t="shared" si="1"/>
        <v>0</v>
      </c>
      <c r="O89"/>
    </row>
    <row r="90" spans="1:15">
      <c r="A90" t="s">
        <v>559</v>
      </c>
      <c r="B90" s="120">
        <f>COUNTIFS('Monthly Report July-26'!$N:$N,A90,'Monthly Report July-26'!$S:$S,B$73,'Monthly Report July-26'!$AD:$AD,"Closed in July")</f>
        <v>0</v>
      </c>
      <c r="C90" s="120">
        <f>COUNTIFS('Monthly Report July-26'!$N:$N,$A90,'Monthly Report July-26'!$S:$S,C$73,'Monthly Report July-26'!$AD:$AD,"Closed in July")</f>
        <v>0</v>
      </c>
      <c r="D90" s="120">
        <f>COUNTIFS('Monthly Report July-26'!$N:$N,$A90,'Monthly Report July-26'!$S:$S,D$73,'Monthly Report July-26'!$AD:$AD,"Closed in July")</f>
        <v>1</v>
      </c>
      <c r="E90" s="121">
        <f>SUM(B90:D90)</f>
        <v>1</v>
      </c>
      <c r="O90"/>
    </row>
    <row r="91" spans="1:15">
      <c r="A91" t="s">
        <v>563</v>
      </c>
      <c r="B91" s="120">
        <f>COUNTIFS('Monthly Report July-26'!$N:$N,A91,'Monthly Report July-26'!$S:$S,B$73,'Monthly Report July-26'!$AD:$AD,"Closed in July")</f>
        <v>0</v>
      </c>
      <c r="C91" s="120">
        <f>COUNTIFS('Monthly Report July-26'!$N:$N,$A91,'Monthly Report July-26'!$S:$S,C$73,'Monthly Report July-26'!$AD:$AD,"Closed in July")</f>
        <v>2</v>
      </c>
      <c r="D91" s="120">
        <f>COUNTIFS('Monthly Report July-26'!$N:$N,$A91,'Monthly Report July-26'!$S:$S,D$73,'Monthly Report July-26'!$AD:$AD,"Closed in July")</f>
        <v>0</v>
      </c>
      <c r="E91" s="121">
        <f t="shared" ref="E91:E95" si="2">SUM(B91:D91)</f>
        <v>2</v>
      </c>
      <c r="O91"/>
    </row>
    <row r="92" spans="1:15">
      <c r="A92" t="s">
        <v>125</v>
      </c>
      <c r="B92" s="120">
        <f>COUNTIFS('Monthly Report July-26'!$N:$N,A92,'Monthly Report July-26'!$S:$S,B$73,'Monthly Report July-26'!$AD:$AD,"Closed in July")</f>
        <v>0</v>
      </c>
      <c r="C92" s="120">
        <f>COUNTIFS('Monthly Report July-26'!$N:$N,$A92,'Monthly Report July-26'!$S:$S,C$73,'Monthly Report July-26'!$AD:$AD,"Closed in July")</f>
        <v>0</v>
      </c>
      <c r="D92" s="120">
        <f>COUNTIFS('Monthly Report July-26'!$N:$N,$A92,'Monthly Report July-26'!$S:$S,D$73,'Monthly Report July-26'!$AD:$AD,"Closed in July")</f>
        <v>0</v>
      </c>
      <c r="E92" s="121">
        <f t="shared" si="2"/>
        <v>0</v>
      </c>
      <c r="O92"/>
    </row>
    <row r="93" spans="1:15">
      <c r="A93" t="s">
        <v>705</v>
      </c>
      <c r="B93" s="120">
        <f>COUNTIFS('Monthly Report July-26'!$N:$N,A93,'Monthly Report July-26'!$S:$S,B$73,'Monthly Report July-26'!$AD:$AD,"Closed in July")</f>
        <v>1</v>
      </c>
      <c r="C93" s="120">
        <f>COUNTIFS('Monthly Report July-26'!$N:$N,$A93,'Monthly Report July-26'!$S:$S,C$73,'Monthly Report July-26'!$AD:$AD,"Closed in July")</f>
        <v>0</v>
      </c>
      <c r="D93" s="120">
        <f>COUNTIFS('Monthly Report July-26'!$N:$N,$A93,'Monthly Report July-26'!$S:$S,D$73,'Monthly Report July-26'!$AD:$AD,"Closed in July")</f>
        <v>0</v>
      </c>
      <c r="E93" s="121">
        <f t="shared" si="2"/>
        <v>1</v>
      </c>
      <c r="O93"/>
    </row>
    <row r="94" spans="1:15">
      <c r="A94" t="s">
        <v>710</v>
      </c>
      <c r="B94" s="120">
        <f>COUNTIFS('Monthly Report July-26'!$N:$N,A94,'Monthly Report July-26'!$S:$S,B$73,'Monthly Report July-26'!$AD:$AD,"Closed in July")</f>
        <v>2</v>
      </c>
      <c r="C94" s="120">
        <f>COUNTIFS('Monthly Report July-26'!$N:$N,$A94,'Monthly Report July-26'!$S:$S,C$73,'Monthly Report July-26'!$AD:$AD,"Closed in July")</f>
        <v>0</v>
      </c>
      <c r="D94" s="120">
        <f>COUNTIFS('Monthly Report July-26'!$N:$N,$A94,'Monthly Report July-26'!$S:$S,D$73,'Monthly Report July-26'!$AD:$AD,"Closed in July")</f>
        <v>0</v>
      </c>
      <c r="E94" s="121">
        <f t="shared" si="2"/>
        <v>2</v>
      </c>
      <c r="O94"/>
    </row>
    <row r="95" spans="1:15" ht="15" thickBot="1">
      <c r="A95" t="s">
        <v>1111</v>
      </c>
      <c r="B95" s="120">
        <f>COUNTIFS('Monthly Report July-26'!$N:$N,A95,'Monthly Report July-26'!$S:$S,B$73,'Monthly Report July-26'!$AD:$AD,"Closed in July")</f>
        <v>2</v>
      </c>
      <c r="C95" s="120">
        <f>COUNTIFS('Monthly Report July-26'!$N:$N,$A95,'Monthly Report July-26'!$S:$S,C$73,'Monthly Report July-26'!$AD:$AD,"Closed in July")</f>
        <v>0</v>
      </c>
      <c r="D95" s="120">
        <f>COUNTIFS('Monthly Report July-26'!$N:$N,$A95,'Monthly Report July-26'!$S:$S,D$73,'Monthly Report July-26'!$AD:$AD,"Closed in July")</f>
        <v>0</v>
      </c>
      <c r="E95" s="121">
        <f t="shared" si="2"/>
        <v>2</v>
      </c>
      <c r="O95"/>
    </row>
    <row r="96" spans="1:15" ht="15" thickBot="1">
      <c r="A96" s="123" t="s">
        <v>1150</v>
      </c>
      <c r="B96" s="124">
        <f>SUM(B75:B89)</f>
        <v>486</v>
      </c>
      <c r="C96" s="124">
        <f>SUM(C75:C89)</f>
        <v>14</v>
      </c>
      <c r="D96" s="124">
        <f>SUM(D75:D89)</f>
        <v>320</v>
      </c>
      <c r="E96" s="125">
        <f>SUM(E75:E90)</f>
        <v>821</v>
      </c>
      <c r="O96"/>
    </row>
    <row r="97" spans="1:6" customFormat="1"/>
    <row r="98" spans="1:6" customFormat="1"/>
    <row r="99" spans="1:6" customFormat="1"/>
    <row r="100" spans="1:6" customFormat="1"/>
    <row r="101" spans="1:6" customFormat="1"/>
    <row r="102" spans="1:6" customFormat="1"/>
    <row r="103" spans="1:6" customFormat="1"/>
    <row r="104" spans="1:6" customFormat="1"/>
    <row r="105" spans="1:6" customFormat="1"/>
    <row r="106" spans="1:6" customFormat="1"/>
    <row r="107" spans="1:6" customFormat="1"/>
    <row r="108" spans="1:6" customFormat="1"/>
    <row r="109" spans="1:6" customFormat="1">
      <c r="A109" s="155"/>
      <c r="B109" s="156"/>
      <c r="C109" s="156"/>
      <c r="D109" s="156"/>
      <c r="E109" s="157"/>
      <c r="F109" s="30"/>
    </row>
    <row r="110" spans="1:6" customFormat="1">
      <c r="A110" s="157"/>
      <c r="B110" s="157"/>
      <c r="C110" s="157"/>
      <c r="D110" s="157"/>
      <c r="E110" s="157"/>
      <c r="F110" s="30"/>
    </row>
    <row r="111" spans="1:6" customFormat="1"/>
    <row r="112" spans="1:6" customFormat="1"/>
    <row r="113" spans="5:15">
      <c r="O113"/>
    </row>
    <row r="114" spans="5:15">
      <c r="O114"/>
    </row>
    <row r="115" spans="5:15">
      <c r="O115"/>
    </row>
    <row r="116" spans="5:15">
      <c r="O116"/>
    </row>
    <row r="117" spans="5:15">
      <c r="E117" t="s">
        <v>1153</v>
      </c>
      <c r="O117"/>
    </row>
    <row r="118" spans="5:15">
      <c r="O118"/>
    </row>
    <row r="119" spans="5:15">
      <c r="O119"/>
    </row>
    <row r="120" spans="5:15">
      <c r="O120"/>
    </row>
    <row r="121" spans="5:15">
      <c r="O121"/>
    </row>
    <row r="122" spans="5:15">
      <c r="O122"/>
    </row>
    <row r="123" spans="5:15">
      <c r="O123"/>
    </row>
    <row r="124" spans="5:15">
      <c r="O124"/>
    </row>
    <row r="125" spans="5:15">
      <c r="O125"/>
    </row>
    <row r="126" spans="5:15">
      <c r="O126"/>
    </row>
    <row r="127" spans="5:15">
      <c r="O127"/>
    </row>
    <row r="128" spans="5:15">
      <c r="O128"/>
    </row>
    <row r="129" spans="15:15">
      <c r="O129"/>
    </row>
    <row r="130" spans="15:15">
      <c r="O130"/>
    </row>
    <row r="131" spans="15:15">
      <c r="O131"/>
    </row>
    <row r="132" spans="15:15">
      <c r="O132"/>
    </row>
    <row r="133" spans="15:15">
      <c r="O133"/>
    </row>
    <row r="134" spans="15:15">
      <c r="O134"/>
    </row>
    <row r="135" spans="15:15">
      <c r="O135"/>
    </row>
    <row r="136" spans="15:15">
      <c r="O136"/>
    </row>
    <row r="137" spans="15:15">
      <c r="O137"/>
    </row>
    <row r="138" spans="15:15">
      <c r="O138"/>
    </row>
    <row r="139" spans="15:15">
      <c r="O139"/>
    </row>
    <row r="140" spans="15:15">
      <c r="O140"/>
    </row>
    <row r="141" spans="15:15">
      <c r="O141"/>
    </row>
    <row r="142" spans="15:15">
      <c r="O142"/>
    </row>
    <row r="143" spans="15:15">
      <c r="O143"/>
    </row>
    <row r="144" spans="15:15">
      <c r="O144"/>
    </row>
    <row r="145" spans="15:15">
      <c r="O145"/>
    </row>
    <row r="146" spans="15:15">
      <c r="O146"/>
    </row>
    <row r="147" spans="15:15">
      <c r="O147"/>
    </row>
    <row r="148" spans="15:15">
      <c r="O148"/>
    </row>
    <row r="149" spans="15:15">
      <c r="O149"/>
    </row>
    <row r="150" spans="15:15">
      <c r="O150"/>
    </row>
    <row r="151" spans="15:15">
      <c r="O151"/>
    </row>
    <row r="152" spans="15:15">
      <c r="O152"/>
    </row>
    <row r="153" spans="15:15">
      <c r="O153"/>
    </row>
    <row r="154" spans="15:15">
      <c r="O154"/>
    </row>
    <row r="155" spans="15:15">
      <c r="O155"/>
    </row>
    <row r="156" spans="15:15">
      <c r="O156"/>
    </row>
    <row r="157" spans="15:15">
      <c r="O157"/>
    </row>
    <row r="158" spans="15:15">
      <c r="O158"/>
    </row>
    <row r="159" spans="15:15">
      <c r="O159"/>
    </row>
    <row r="160" spans="15:15">
      <c r="O160"/>
    </row>
    <row r="161" spans="15:15">
      <c r="O161"/>
    </row>
    <row r="162" spans="15:15">
      <c r="O162"/>
    </row>
    <row r="163" spans="15:15">
      <c r="O163"/>
    </row>
    <row r="164" spans="15:15">
      <c r="O164"/>
    </row>
    <row r="165" spans="15:15">
      <c r="O165"/>
    </row>
    <row r="166" spans="15:15">
      <c r="O166"/>
    </row>
    <row r="167" spans="15:15">
      <c r="O167"/>
    </row>
    <row r="168" spans="15:15">
      <c r="O168"/>
    </row>
    <row r="169" spans="15:15">
      <c r="O169"/>
    </row>
    <row r="170" spans="15:15">
      <c r="O170"/>
    </row>
    <row r="171" spans="15:15">
      <c r="O171"/>
    </row>
    <row r="172" spans="15:15">
      <c r="O172"/>
    </row>
    <row r="173" spans="15:15">
      <c r="O173"/>
    </row>
    <row r="174" spans="15:15">
      <c r="O174"/>
    </row>
    <row r="175" spans="15:15">
      <c r="O175"/>
    </row>
    <row r="176" spans="15:15">
      <c r="O176"/>
    </row>
    <row r="177" spans="15:15">
      <c r="O177"/>
    </row>
    <row r="178" spans="15:15">
      <c r="O178"/>
    </row>
    <row r="179" spans="15:15">
      <c r="O179"/>
    </row>
    <row r="180" spans="15:15">
      <c r="O180"/>
    </row>
    <row r="181" spans="15:15">
      <c r="O181"/>
    </row>
    <row r="182" spans="15:15">
      <c r="O182"/>
    </row>
    <row r="183" spans="15:15">
      <c r="O183"/>
    </row>
    <row r="184" spans="15:15">
      <c r="O184"/>
    </row>
    <row r="185" spans="15:15">
      <c r="O185"/>
    </row>
    <row r="186" spans="15:15">
      <c r="O186"/>
    </row>
    <row r="187" spans="15:15">
      <c r="O187"/>
    </row>
    <row r="188" spans="15:15">
      <c r="O188"/>
    </row>
    <row r="189" spans="15:15">
      <c r="O189"/>
    </row>
    <row r="190" spans="15:15">
      <c r="O190"/>
    </row>
    <row r="191" spans="15:15">
      <c r="O191"/>
    </row>
    <row r="192" spans="15:15">
      <c r="O192"/>
    </row>
    <row r="193" spans="15:15">
      <c r="O193"/>
    </row>
    <row r="194" spans="15:15">
      <c r="O194"/>
    </row>
    <row r="195" spans="15:15">
      <c r="O195"/>
    </row>
    <row r="196" spans="15:15">
      <c r="O196"/>
    </row>
    <row r="197" spans="15:15">
      <c r="O197"/>
    </row>
    <row r="198" spans="15:15">
      <c r="O198"/>
    </row>
    <row r="199" spans="15:15">
      <c r="O199"/>
    </row>
    <row r="200" spans="15:15">
      <c r="O200"/>
    </row>
    <row r="201" spans="15:15">
      <c r="O201"/>
    </row>
    <row r="202" spans="15:15">
      <c r="O202"/>
    </row>
    <row r="203" spans="15:15">
      <c r="O203"/>
    </row>
    <row r="204" spans="15:15">
      <c r="O204"/>
    </row>
    <row r="205" spans="15:15">
      <c r="O205"/>
    </row>
    <row r="206" spans="15:15">
      <c r="O206"/>
    </row>
    <row r="207" spans="15:15">
      <c r="O207"/>
    </row>
    <row r="208" spans="15:15">
      <c r="O208"/>
    </row>
    <row r="209" spans="15:15">
      <c r="O209"/>
    </row>
    <row r="210" spans="15:15">
      <c r="O210"/>
    </row>
    <row r="211" spans="15:15">
      <c r="O211"/>
    </row>
    <row r="212" spans="15:15">
      <c r="O212"/>
    </row>
    <row r="213" spans="15:15">
      <c r="O213"/>
    </row>
    <row r="214" spans="15:15">
      <c r="O214"/>
    </row>
    <row r="215" spans="15:15">
      <c r="O215"/>
    </row>
    <row r="216" spans="15:15">
      <c r="O216"/>
    </row>
    <row r="217" spans="15:15">
      <c r="O217"/>
    </row>
    <row r="218" spans="15:15">
      <c r="O218"/>
    </row>
    <row r="219" spans="15:15">
      <c r="O219"/>
    </row>
    <row r="220" spans="15:15">
      <c r="O220"/>
    </row>
    <row r="221" spans="15:15">
      <c r="O221"/>
    </row>
    <row r="222" spans="15:15">
      <c r="O222"/>
    </row>
    <row r="223" spans="15:15">
      <c r="O223"/>
    </row>
    <row r="224" spans="15:15">
      <c r="O224"/>
    </row>
    <row r="225" spans="15:15">
      <c r="O225"/>
    </row>
    <row r="226" spans="15:15">
      <c r="O226"/>
    </row>
    <row r="227" spans="15:15">
      <c r="O227"/>
    </row>
    <row r="228" spans="15:15">
      <c r="O228"/>
    </row>
    <row r="229" spans="15:15">
      <c r="O229"/>
    </row>
    <row r="230" spans="15:15">
      <c r="O230"/>
    </row>
    <row r="231" spans="15:15">
      <c r="O231"/>
    </row>
    <row r="232" spans="15:15">
      <c r="O232"/>
    </row>
    <row r="233" spans="15:15">
      <c r="O233"/>
    </row>
    <row r="234" spans="15:15">
      <c r="O234"/>
    </row>
    <row r="235" spans="15:15">
      <c r="O235"/>
    </row>
    <row r="236" spans="15:15">
      <c r="O236"/>
    </row>
    <row r="237" spans="15:15">
      <c r="O237"/>
    </row>
    <row r="238" spans="15:15">
      <c r="O238"/>
    </row>
    <row r="239" spans="15:15">
      <c r="O239"/>
    </row>
    <row r="240" spans="15:15">
      <c r="O240"/>
    </row>
    <row r="241" spans="15:15">
      <c r="O241"/>
    </row>
    <row r="242" spans="15:15">
      <c r="O242"/>
    </row>
    <row r="243" spans="15:15">
      <c r="O243"/>
    </row>
    <row r="244" spans="15:15">
      <c r="O244"/>
    </row>
    <row r="245" spans="15:15">
      <c r="O245"/>
    </row>
    <row r="246" spans="15:15">
      <c r="O246"/>
    </row>
    <row r="247" spans="15:15">
      <c r="O247"/>
    </row>
    <row r="248" spans="15:15">
      <c r="O248"/>
    </row>
    <row r="249" spans="15:15">
      <c r="O249"/>
    </row>
    <row r="250" spans="15:15">
      <c r="O250"/>
    </row>
    <row r="251" spans="15:15">
      <c r="O251"/>
    </row>
    <row r="252" spans="15:15">
      <c r="O252"/>
    </row>
    <row r="253" spans="15:15">
      <c r="O253"/>
    </row>
    <row r="254" spans="15:15">
      <c r="O254"/>
    </row>
    <row r="255" spans="15:15">
      <c r="O255"/>
    </row>
    <row r="256" spans="15:15">
      <c r="O256"/>
    </row>
    <row r="257" spans="15:15">
      <c r="O257"/>
    </row>
    <row r="258" spans="15:15">
      <c r="O258"/>
    </row>
    <row r="259" spans="15:15">
      <c r="O259"/>
    </row>
    <row r="260" spans="15:15">
      <c r="O260"/>
    </row>
    <row r="261" spans="15:15">
      <c r="O261"/>
    </row>
    <row r="262" spans="15:15">
      <c r="O262"/>
    </row>
    <row r="263" spans="15:15">
      <c r="O263"/>
    </row>
    <row r="264" spans="15:15">
      <c r="O264"/>
    </row>
    <row r="265" spans="15:15">
      <c r="O265"/>
    </row>
    <row r="266" spans="15:15">
      <c r="O266"/>
    </row>
    <row r="267" spans="15:15">
      <c r="O267"/>
    </row>
    <row r="268" spans="15:15">
      <c r="O268"/>
    </row>
    <row r="269" spans="15:15">
      <c r="O269"/>
    </row>
    <row r="270" spans="15:15">
      <c r="O270"/>
    </row>
    <row r="271" spans="15:15">
      <c r="O271"/>
    </row>
    <row r="272" spans="15:15">
      <c r="O272"/>
    </row>
    <row r="273" spans="15:15">
      <c r="O273"/>
    </row>
    <row r="274" spans="15:15">
      <c r="O274"/>
    </row>
    <row r="275" spans="15:15">
      <c r="O275"/>
    </row>
    <row r="276" spans="15:15">
      <c r="O276"/>
    </row>
    <row r="277" spans="15:15">
      <c r="O277"/>
    </row>
    <row r="278" spans="15:15">
      <c r="O278"/>
    </row>
    <row r="279" spans="15:15">
      <c r="O279"/>
    </row>
    <row r="280" spans="15:15">
      <c r="O280"/>
    </row>
    <row r="281" spans="15:15">
      <c r="O281"/>
    </row>
    <row r="282" spans="15:15">
      <c r="O282"/>
    </row>
    <row r="283" spans="15:15">
      <c r="O283"/>
    </row>
    <row r="284" spans="15:15">
      <c r="O284"/>
    </row>
    <row r="285" spans="15:15">
      <c r="O285"/>
    </row>
    <row r="286" spans="15:15">
      <c r="O286"/>
    </row>
    <row r="287" spans="15:15">
      <c r="O287"/>
    </row>
    <row r="288" spans="15:15">
      <c r="O288"/>
    </row>
    <row r="289" spans="15:15">
      <c r="O289"/>
    </row>
    <row r="290" spans="15:15">
      <c r="O290"/>
    </row>
    <row r="291" spans="15:15">
      <c r="O291"/>
    </row>
    <row r="292" spans="15:15">
      <c r="O292"/>
    </row>
    <row r="293" spans="15:15">
      <c r="O293"/>
    </row>
    <row r="294" spans="15:15">
      <c r="O294"/>
    </row>
    <row r="295" spans="15:15">
      <c r="O295"/>
    </row>
    <row r="296" spans="15:15">
      <c r="O296"/>
    </row>
    <row r="297" spans="15:15">
      <c r="O297"/>
    </row>
    <row r="298" spans="15:15">
      <c r="O298"/>
    </row>
    <row r="299" spans="15:15">
      <c r="O299"/>
    </row>
    <row r="300" spans="15:15">
      <c r="O300"/>
    </row>
    <row r="301" spans="15:15">
      <c r="O301"/>
    </row>
    <row r="302" spans="15:15">
      <c r="O302"/>
    </row>
    <row r="303" spans="15:15">
      <c r="O303"/>
    </row>
    <row r="304" spans="15:15">
      <c r="O304"/>
    </row>
    <row r="305" spans="15:15">
      <c r="O305"/>
    </row>
    <row r="306" spans="15:15">
      <c r="O306"/>
    </row>
    <row r="307" spans="15:15">
      <c r="O307"/>
    </row>
    <row r="308" spans="15:15">
      <c r="O308"/>
    </row>
    <row r="309" spans="15:15">
      <c r="O309"/>
    </row>
    <row r="310" spans="15:15">
      <c r="O310"/>
    </row>
    <row r="311" spans="15:15">
      <c r="O311"/>
    </row>
    <row r="312" spans="15:15">
      <c r="O312"/>
    </row>
    <row r="313" spans="15:15">
      <c r="O313"/>
    </row>
    <row r="314" spans="15:15">
      <c r="O314"/>
    </row>
    <row r="315" spans="15:15">
      <c r="O315"/>
    </row>
    <row r="316" spans="15:15">
      <c r="O316"/>
    </row>
    <row r="317" spans="15:15">
      <c r="O317"/>
    </row>
    <row r="318" spans="15:15">
      <c r="O318"/>
    </row>
    <row r="319" spans="15:15">
      <c r="O319"/>
    </row>
    <row r="320" spans="15:15">
      <c r="O320"/>
    </row>
    <row r="321" spans="15:15">
      <c r="O321"/>
    </row>
    <row r="322" spans="15:15">
      <c r="O322"/>
    </row>
    <row r="323" spans="15:15">
      <c r="O323"/>
    </row>
    <row r="324" spans="15:15">
      <c r="O324"/>
    </row>
    <row r="325" spans="15:15">
      <c r="O325"/>
    </row>
    <row r="326" spans="15:15">
      <c r="O326"/>
    </row>
    <row r="327" spans="15:15">
      <c r="O327"/>
    </row>
    <row r="328" spans="15:15">
      <c r="O328"/>
    </row>
    <row r="329" spans="15:15">
      <c r="O329"/>
    </row>
    <row r="330" spans="15:15">
      <c r="O330"/>
    </row>
    <row r="331" spans="15:15">
      <c r="O331"/>
    </row>
    <row r="332" spans="15:15">
      <c r="O332"/>
    </row>
    <row r="333" spans="15:15">
      <c r="O333"/>
    </row>
    <row r="334" spans="15:15">
      <c r="O334"/>
    </row>
    <row r="335" spans="15:15">
      <c r="O335"/>
    </row>
    <row r="336" spans="15:15">
      <c r="O336"/>
    </row>
    <row r="337" spans="15:15">
      <c r="O337"/>
    </row>
    <row r="338" spans="15:15">
      <c r="O338"/>
    </row>
    <row r="339" spans="15:15">
      <c r="O339"/>
    </row>
    <row r="340" spans="15:15">
      <c r="O340"/>
    </row>
    <row r="341" spans="15:15">
      <c r="O341"/>
    </row>
    <row r="342" spans="15:15">
      <c r="O342"/>
    </row>
    <row r="343" spans="15:15">
      <c r="O343"/>
    </row>
    <row r="344" spans="15:15">
      <c r="O344"/>
    </row>
    <row r="345" spans="15:15">
      <c r="O345"/>
    </row>
    <row r="346" spans="15:15">
      <c r="O346"/>
    </row>
    <row r="347" spans="15:15">
      <c r="O347"/>
    </row>
    <row r="348" spans="15:15">
      <c r="O348"/>
    </row>
    <row r="349" spans="15:15">
      <c r="O349"/>
    </row>
    <row r="350" spans="15:15">
      <c r="O350"/>
    </row>
    <row r="351" spans="15:15">
      <c r="O351"/>
    </row>
    <row r="352" spans="15:15">
      <c r="O352"/>
    </row>
    <row r="353" spans="15:15">
      <c r="O353"/>
    </row>
    <row r="354" spans="15:15">
      <c r="O354"/>
    </row>
    <row r="355" spans="15:15">
      <c r="O355"/>
    </row>
    <row r="356" spans="15:15">
      <c r="O356"/>
    </row>
    <row r="357" spans="15:15">
      <c r="O357"/>
    </row>
    <row r="358" spans="15:15">
      <c r="O358"/>
    </row>
    <row r="359" spans="15:15">
      <c r="O359"/>
    </row>
    <row r="360" spans="15:15">
      <c r="O360"/>
    </row>
    <row r="361" spans="15:15">
      <c r="O361"/>
    </row>
    <row r="362" spans="15:15">
      <c r="O362"/>
    </row>
    <row r="363" spans="15:15">
      <c r="O363"/>
    </row>
    <row r="364" spans="15:15">
      <c r="O364"/>
    </row>
    <row r="365" spans="15:15">
      <c r="O365"/>
    </row>
    <row r="366" spans="15:15">
      <c r="O366"/>
    </row>
    <row r="367" spans="15:15">
      <c r="O367"/>
    </row>
    <row r="368" spans="15:15">
      <c r="O368"/>
    </row>
    <row r="369" spans="15:15">
      <c r="O369"/>
    </row>
    <row r="370" spans="15:15">
      <c r="O370"/>
    </row>
    <row r="371" spans="15:15">
      <c r="O371"/>
    </row>
    <row r="372" spans="15:15">
      <c r="O372"/>
    </row>
    <row r="373" spans="15:15">
      <c r="O373"/>
    </row>
    <row r="374" spans="15:15">
      <c r="O374"/>
    </row>
    <row r="375" spans="15:15">
      <c r="O375"/>
    </row>
    <row r="376" spans="15:15">
      <c r="O376"/>
    </row>
    <row r="377" spans="15:15">
      <c r="O377"/>
    </row>
    <row r="378" spans="15:15">
      <c r="O378"/>
    </row>
    <row r="379" spans="15:15">
      <c r="O379"/>
    </row>
    <row r="380" spans="15:15">
      <c r="O380"/>
    </row>
    <row r="381" spans="15:15">
      <c r="O381"/>
    </row>
    <row r="382" spans="15:15">
      <c r="O382"/>
    </row>
    <row r="383" spans="15:15">
      <c r="O383"/>
    </row>
    <row r="384" spans="15:15">
      <c r="O384"/>
    </row>
    <row r="385" spans="15:15">
      <c r="O385"/>
    </row>
    <row r="386" spans="15:15">
      <c r="O386"/>
    </row>
    <row r="387" spans="15:15">
      <c r="O387"/>
    </row>
    <row r="388" spans="15:15">
      <c r="O388"/>
    </row>
    <row r="389" spans="15:15">
      <c r="O389"/>
    </row>
    <row r="390" spans="15:15">
      <c r="O390"/>
    </row>
    <row r="391" spans="15:15">
      <c r="O391"/>
    </row>
    <row r="392" spans="15:15">
      <c r="O392"/>
    </row>
    <row r="393" spans="15:15">
      <c r="O393"/>
    </row>
    <row r="394" spans="15:15">
      <c r="O394"/>
    </row>
    <row r="395" spans="15:15">
      <c r="O395"/>
    </row>
    <row r="396" spans="15:15">
      <c r="O396"/>
    </row>
    <row r="397" spans="15:15">
      <c r="O397"/>
    </row>
    <row r="398" spans="15:15">
      <c r="O398"/>
    </row>
    <row r="399" spans="15:15">
      <c r="O399"/>
    </row>
    <row r="400" spans="15:15">
      <c r="O400"/>
    </row>
    <row r="401" spans="15:15">
      <c r="O401"/>
    </row>
    <row r="402" spans="15:15">
      <c r="O402"/>
    </row>
    <row r="403" spans="15:15">
      <c r="O403"/>
    </row>
    <row r="404" spans="15:15">
      <c r="O404"/>
    </row>
    <row r="405" spans="15:15">
      <c r="O405"/>
    </row>
    <row r="406" spans="15:15">
      <c r="O406"/>
    </row>
    <row r="407" spans="15:15">
      <c r="O407"/>
    </row>
    <row r="408" spans="15:15">
      <c r="O408"/>
    </row>
    <row r="409" spans="15:15">
      <c r="O409"/>
    </row>
    <row r="410" spans="15:15">
      <c r="O410"/>
    </row>
    <row r="411" spans="15:15">
      <c r="O411"/>
    </row>
    <row r="412" spans="15:15">
      <c r="O412"/>
    </row>
    <row r="413" spans="15:15">
      <c r="O413"/>
    </row>
    <row r="414" spans="15:15">
      <c r="O414"/>
    </row>
    <row r="415" spans="15:15">
      <c r="O415"/>
    </row>
    <row r="416" spans="15:15">
      <c r="O416"/>
    </row>
    <row r="417" spans="15:15">
      <c r="O417"/>
    </row>
    <row r="418" spans="15:15">
      <c r="O418"/>
    </row>
    <row r="419" spans="15:15">
      <c r="O419"/>
    </row>
    <row r="420" spans="15:15">
      <c r="O420"/>
    </row>
    <row r="421" spans="15:15">
      <c r="O421"/>
    </row>
    <row r="422" spans="15:15">
      <c r="O422"/>
    </row>
    <row r="423" spans="15:15">
      <c r="O423"/>
    </row>
    <row r="424" spans="15:15">
      <c r="O424"/>
    </row>
    <row r="425" spans="15:15">
      <c r="O425"/>
    </row>
    <row r="426" spans="15:15">
      <c r="O426"/>
    </row>
    <row r="427" spans="15:15">
      <c r="O427"/>
    </row>
    <row r="428" spans="15:15">
      <c r="O428"/>
    </row>
    <row r="429" spans="15:15">
      <c r="O429"/>
    </row>
    <row r="430" spans="15:15">
      <c r="O430"/>
    </row>
    <row r="431" spans="15:15">
      <c r="O431"/>
    </row>
    <row r="432" spans="15:15">
      <c r="O432"/>
    </row>
    <row r="433" spans="15:15">
      <c r="O433"/>
    </row>
    <row r="434" spans="15:15">
      <c r="O434"/>
    </row>
    <row r="435" spans="15:15">
      <c r="O435"/>
    </row>
    <row r="436" spans="15:15">
      <c r="O436"/>
    </row>
    <row r="437" spans="15:15">
      <c r="O437"/>
    </row>
    <row r="438" spans="15:15">
      <c r="O438"/>
    </row>
    <row r="439" spans="15:15">
      <c r="O439"/>
    </row>
    <row r="440" spans="15:15">
      <c r="O440"/>
    </row>
    <row r="441" spans="15:15">
      <c r="O441"/>
    </row>
    <row r="442" spans="15:15">
      <c r="O442"/>
    </row>
    <row r="443" spans="15:15">
      <c r="O443"/>
    </row>
    <row r="444" spans="15:15">
      <c r="O444"/>
    </row>
    <row r="445" spans="15:15">
      <c r="O445"/>
    </row>
    <row r="446" spans="15:15">
      <c r="O446"/>
    </row>
    <row r="447" spans="15:15">
      <c r="O447"/>
    </row>
    <row r="448" spans="15:15">
      <c r="O448"/>
    </row>
    <row r="449" spans="15:15">
      <c r="O449"/>
    </row>
    <row r="450" spans="15:15">
      <c r="O450"/>
    </row>
    <row r="451" spans="15:15">
      <c r="O451"/>
    </row>
    <row r="452" spans="15:15">
      <c r="O452"/>
    </row>
    <row r="453" spans="15:15">
      <c r="O453"/>
    </row>
    <row r="454" spans="15:15">
      <c r="O454"/>
    </row>
    <row r="455" spans="15:15">
      <c r="O455"/>
    </row>
    <row r="456" spans="15:15">
      <c r="O456"/>
    </row>
    <row r="457" spans="15:15">
      <c r="O457"/>
    </row>
    <row r="458" spans="15:15">
      <c r="O458"/>
    </row>
    <row r="459" spans="15:15">
      <c r="O459"/>
    </row>
    <row r="460" spans="15:15">
      <c r="O460"/>
    </row>
    <row r="461" spans="15:15">
      <c r="O461"/>
    </row>
    <row r="462" spans="15:15">
      <c r="O462"/>
    </row>
    <row r="463" spans="15:15">
      <c r="O463"/>
    </row>
    <row r="464" spans="15:15">
      <c r="O464"/>
    </row>
    <row r="465" spans="15:15">
      <c r="O465"/>
    </row>
    <row r="466" spans="15:15">
      <c r="O466"/>
    </row>
    <row r="467" spans="15:15">
      <c r="O467"/>
    </row>
    <row r="468" spans="15:15">
      <c r="O468"/>
    </row>
    <row r="469" spans="15:15">
      <c r="O469"/>
    </row>
    <row r="470" spans="15:15">
      <c r="O470"/>
    </row>
    <row r="471" spans="15:15">
      <c r="O471"/>
    </row>
    <row r="472" spans="15:15">
      <c r="O472"/>
    </row>
    <row r="473" spans="15:15">
      <c r="O473"/>
    </row>
    <row r="474" spans="15:15">
      <c r="O474"/>
    </row>
    <row r="475" spans="15:15">
      <c r="O475"/>
    </row>
    <row r="476" spans="15:15">
      <c r="O476"/>
    </row>
    <row r="477" spans="15:15">
      <c r="O477"/>
    </row>
    <row r="478" spans="15:15">
      <c r="O478"/>
    </row>
    <row r="479" spans="15:15">
      <c r="O479"/>
    </row>
    <row r="480" spans="15:15">
      <c r="O480"/>
    </row>
    <row r="481" spans="15:15">
      <c r="O481"/>
    </row>
    <row r="482" spans="15:15">
      <c r="O482"/>
    </row>
    <row r="483" spans="15:15">
      <c r="O483"/>
    </row>
    <row r="484" spans="15:15">
      <c r="O484"/>
    </row>
    <row r="485" spans="15:15">
      <c r="O485"/>
    </row>
    <row r="486" spans="15:15">
      <c r="O486"/>
    </row>
    <row r="487" spans="15:15">
      <c r="O487"/>
    </row>
    <row r="488" spans="15:15">
      <c r="O488"/>
    </row>
    <row r="489" spans="15:15">
      <c r="O489"/>
    </row>
    <row r="490" spans="15:15">
      <c r="O490"/>
    </row>
    <row r="491" spans="15:15">
      <c r="O491"/>
    </row>
    <row r="492" spans="15:15">
      <c r="O492"/>
    </row>
    <row r="493" spans="15:15">
      <c r="O493"/>
    </row>
    <row r="494" spans="15:15">
      <c r="O494"/>
    </row>
    <row r="495" spans="15:15">
      <c r="O495"/>
    </row>
    <row r="496" spans="15:15">
      <c r="O496"/>
    </row>
    <row r="497" spans="15:15">
      <c r="O497"/>
    </row>
    <row r="498" spans="15:15">
      <c r="O498"/>
    </row>
    <row r="499" spans="15:15">
      <c r="O499"/>
    </row>
    <row r="500" spans="15:15">
      <c r="O500"/>
    </row>
    <row r="501" spans="15:15">
      <c r="O501"/>
    </row>
    <row r="502" spans="15:15">
      <c r="O502"/>
    </row>
    <row r="503" spans="15:15">
      <c r="O503"/>
    </row>
    <row r="504" spans="15:15">
      <c r="O504"/>
    </row>
    <row r="505" spans="15:15">
      <c r="O505"/>
    </row>
    <row r="506" spans="15:15">
      <c r="O506"/>
    </row>
    <row r="507" spans="15:15">
      <c r="O507"/>
    </row>
    <row r="508" spans="15:15">
      <c r="O508"/>
    </row>
    <row r="509" spans="15:15">
      <c r="O509"/>
    </row>
    <row r="510" spans="15:15">
      <c r="O510"/>
    </row>
    <row r="511" spans="15:15">
      <c r="O511"/>
    </row>
    <row r="512" spans="15:15">
      <c r="O512"/>
    </row>
    <row r="513" spans="15:15">
      <c r="O513"/>
    </row>
    <row r="514" spans="15:15">
      <c r="O514"/>
    </row>
    <row r="515" spans="15:15">
      <c r="O515"/>
    </row>
    <row r="516" spans="15:15">
      <c r="O516"/>
    </row>
    <row r="517" spans="15:15">
      <c r="O517"/>
    </row>
    <row r="518" spans="15:15">
      <c r="O518"/>
    </row>
    <row r="519" spans="15:15">
      <c r="O519"/>
    </row>
    <row r="520" spans="15:15">
      <c r="O520"/>
    </row>
    <row r="521" spans="15:15">
      <c r="O521"/>
    </row>
    <row r="522" spans="15:15">
      <c r="O522"/>
    </row>
    <row r="523" spans="15:15">
      <c r="O523"/>
    </row>
    <row r="524" spans="15:15">
      <c r="O524"/>
    </row>
    <row r="525" spans="15:15">
      <c r="O525"/>
    </row>
    <row r="526" spans="15:15">
      <c r="O526"/>
    </row>
    <row r="527" spans="15:15">
      <c r="O527"/>
    </row>
    <row r="528" spans="15:15">
      <c r="O528"/>
    </row>
    <row r="529" spans="15:15">
      <c r="O529"/>
    </row>
    <row r="530" spans="15:15">
      <c r="O530"/>
    </row>
    <row r="531" spans="15:15">
      <c r="O531"/>
    </row>
    <row r="532" spans="15:15">
      <c r="O532"/>
    </row>
    <row r="533" spans="15:15">
      <c r="O533"/>
    </row>
    <row r="534" spans="15:15">
      <c r="O534"/>
    </row>
    <row r="535" spans="15:15">
      <c r="O535"/>
    </row>
    <row r="536" spans="15:15">
      <c r="O536"/>
    </row>
    <row r="537" spans="15:15">
      <c r="O537"/>
    </row>
    <row r="538" spans="15:15">
      <c r="O538"/>
    </row>
    <row r="539" spans="15:15">
      <c r="O539"/>
    </row>
    <row r="540" spans="15:15">
      <c r="O540"/>
    </row>
    <row r="541" spans="15:15">
      <c r="O541"/>
    </row>
    <row r="542" spans="15:15">
      <c r="O542"/>
    </row>
    <row r="543" spans="15:15">
      <c r="O543"/>
    </row>
    <row r="544" spans="15:15">
      <c r="O544"/>
    </row>
    <row r="545" spans="15:15">
      <c r="O545"/>
    </row>
    <row r="546" spans="15:15">
      <c r="O546"/>
    </row>
    <row r="547" spans="15:15">
      <c r="O547"/>
    </row>
    <row r="548" spans="15:15">
      <c r="O548"/>
    </row>
    <row r="549" spans="15:15">
      <c r="O549"/>
    </row>
    <row r="550" spans="15:15">
      <c r="O550"/>
    </row>
    <row r="551" spans="15:15">
      <c r="O551"/>
    </row>
    <row r="552" spans="15:15">
      <c r="O552"/>
    </row>
    <row r="553" spans="15:15">
      <c r="O553"/>
    </row>
    <row r="554" spans="15:15">
      <c r="O554"/>
    </row>
    <row r="555" spans="15:15">
      <c r="O555"/>
    </row>
    <row r="556" spans="15:15">
      <c r="O556"/>
    </row>
    <row r="557" spans="15:15">
      <c r="O557"/>
    </row>
    <row r="558" spans="15:15">
      <c r="O558"/>
    </row>
    <row r="559" spans="15:15">
      <c r="O559"/>
    </row>
    <row r="560" spans="15:15">
      <c r="O560"/>
    </row>
    <row r="561" spans="15:15">
      <c r="O561"/>
    </row>
    <row r="562" spans="15:15">
      <c r="O562"/>
    </row>
    <row r="563" spans="15:15">
      <c r="O563"/>
    </row>
    <row r="564" spans="15:15">
      <c r="O564"/>
    </row>
    <row r="565" spans="15:15">
      <c r="O565"/>
    </row>
    <row r="566" spans="15:15">
      <c r="O566"/>
    </row>
    <row r="567" spans="15:15">
      <c r="O567"/>
    </row>
    <row r="568" spans="15:15">
      <c r="O568"/>
    </row>
    <row r="569" spans="15:15">
      <c r="O569"/>
    </row>
    <row r="570" spans="15:15">
      <c r="O570"/>
    </row>
    <row r="571" spans="15:15">
      <c r="O571"/>
    </row>
    <row r="572" spans="15:15">
      <c r="O572"/>
    </row>
    <row r="573" spans="15:15">
      <c r="O573"/>
    </row>
    <row r="574" spans="15:15">
      <c r="O574"/>
    </row>
    <row r="575" spans="15:15">
      <c r="O575"/>
    </row>
    <row r="576" spans="15:15">
      <c r="O576"/>
    </row>
    <row r="577" spans="15:15">
      <c r="O577"/>
    </row>
    <row r="578" spans="15:15">
      <c r="O578"/>
    </row>
    <row r="579" spans="15:15">
      <c r="O579"/>
    </row>
    <row r="580" spans="15:15">
      <c r="O580"/>
    </row>
    <row r="581" spans="15:15">
      <c r="O581"/>
    </row>
    <row r="582" spans="15:15">
      <c r="O582"/>
    </row>
    <row r="583" spans="15:15">
      <c r="O583"/>
    </row>
    <row r="584" spans="15:15">
      <c r="O584"/>
    </row>
    <row r="585" spans="15:15">
      <c r="O585"/>
    </row>
    <row r="586" spans="15:15">
      <c r="O586"/>
    </row>
    <row r="587" spans="15:15">
      <c r="O587"/>
    </row>
    <row r="588" spans="15:15">
      <c r="O588"/>
    </row>
    <row r="589" spans="15:15">
      <c r="O589"/>
    </row>
    <row r="590" spans="15:15">
      <c r="O590"/>
    </row>
    <row r="591" spans="15:15">
      <c r="O591"/>
    </row>
    <row r="592" spans="15:15">
      <c r="O592"/>
    </row>
    <row r="593" spans="15:15">
      <c r="O593"/>
    </row>
    <row r="594" spans="15:15">
      <c r="O594"/>
    </row>
    <row r="595" spans="15:15">
      <c r="O595"/>
    </row>
    <row r="596" spans="15:15">
      <c r="O596"/>
    </row>
    <row r="597" spans="15:15">
      <c r="O597"/>
    </row>
    <row r="598" spans="15:15">
      <c r="O598"/>
    </row>
    <row r="599" spans="15:15">
      <c r="O599"/>
    </row>
    <row r="600" spans="15:15">
      <c r="O600"/>
    </row>
    <row r="601" spans="15:15">
      <c r="O601"/>
    </row>
    <row r="602" spans="15:15">
      <c r="O602"/>
    </row>
    <row r="603" spans="15:15">
      <c r="O603"/>
    </row>
    <row r="604" spans="15:15">
      <c r="O604"/>
    </row>
    <row r="605" spans="15:15">
      <c r="O605"/>
    </row>
    <row r="606" spans="15:15">
      <c r="O606"/>
    </row>
    <row r="607" spans="15:15">
      <c r="O607"/>
    </row>
    <row r="608" spans="15:15">
      <c r="O608"/>
    </row>
    <row r="609" spans="15:15">
      <c r="O609"/>
    </row>
    <row r="610" spans="15:15">
      <c r="O610"/>
    </row>
    <row r="611" spans="15:15">
      <c r="O611"/>
    </row>
    <row r="612" spans="15:15">
      <c r="O612"/>
    </row>
    <row r="613" spans="15:15">
      <c r="O613"/>
    </row>
    <row r="614" spans="15:15">
      <c r="O614"/>
    </row>
    <row r="615" spans="15:15">
      <c r="O615"/>
    </row>
    <row r="616" spans="15:15">
      <c r="O616"/>
    </row>
    <row r="617" spans="15:15">
      <c r="O617"/>
    </row>
    <row r="618" spans="15:15">
      <c r="O618"/>
    </row>
    <row r="619" spans="15:15">
      <c r="O619"/>
    </row>
    <row r="620" spans="15:15">
      <c r="O620"/>
    </row>
    <row r="621" spans="15:15">
      <c r="O621"/>
    </row>
    <row r="622" spans="15:15">
      <c r="O622"/>
    </row>
    <row r="623" spans="15:15">
      <c r="O623"/>
    </row>
    <row r="624" spans="15:15">
      <c r="O624"/>
    </row>
    <row r="625" spans="15:15">
      <c r="O625"/>
    </row>
    <row r="626" spans="15:15">
      <c r="O626"/>
    </row>
    <row r="627" spans="15:15">
      <c r="O627"/>
    </row>
    <row r="628" spans="15:15">
      <c r="O628"/>
    </row>
    <row r="629" spans="15:15">
      <c r="O629"/>
    </row>
    <row r="630" spans="15:15">
      <c r="O630"/>
    </row>
    <row r="631" spans="15:15">
      <c r="O631"/>
    </row>
    <row r="632" spans="15:15">
      <c r="O632"/>
    </row>
    <row r="633" spans="15:15">
      <c r="O633"/>
    </row>
    <row r="634" spans="15:15">
      <c r="O634"/>
    </row>
    <row r="635" spans="15:15">
      <c r="O635"/>
    </row>
    <row r="636" spans="15:15">
      <c r="O636"/>
    </row>
    <row r="637" spans="15:15">
      <c r="O637"/>
    </row>
    <row r="638" spans="15:15">
      <c r="O638"/>
    </row>
    <row r="639" spans="15:15">
      <c r="O639"/>
    </row>
    <row r="640" spans="15:15">
      <c r="O640"/>
    </row>
    <row r="641" spans="15:15">
      <c r="O641"/>
    </row>
    <row r="642" spans="15:15">
      <c r="O642"/>
    </row>
    <row r="643" spans="15:15">
      <c r="O643"/>
    </row>
    <row r="644" spans="15:15">
      <c r="O644"/>
    </row>
    <row r="645" spans="15:15">
      <c r="O645"/>
    </row>
    <row r="646" spans="15:15">
      <c r="O646"/>
    </row>
    <row r="647" spans="15:15">
      <c r="O647"/>
    </row>
    <row r="648" spans="15:15">
      <c r="O648"/>
    </row>
    <row r="649" spans="15:15">
      <c r="O649"/>
    </row>
    <row r="650" spans="15:15">
      <c r="O650"/>
    </row>
    <row r="651" spans="15:15">
      <c r="O651"/>
    </row>
    <row r="652" spans="15:15">
      <c r="O652"/>
    </row>
    <row r="653" spans="15:15">
      <c r="O653"/>
    </row>
    <row r="654" spans="15:15">
      <c r="O654"/>
    </row>
    <row r="655" spans="15:15">
      <c r="O655"/>
    </row>
    <row r="656" spans="15:15">
      <c r="O656"/>
    </row>
    <row r="657" spans="15:15">
      <c r="O657"/>
    </row>
    <row r="658" spans="15:15">
      <c r="O658"/>
    </row>
    <row r="659" spans="15:15">
      <c r="O659"/>
    </row>
    <row r="660" spans="15:15">
      <c r="O660"/>
    </row>
    <row r="661" spans="15:15">
      <c r="O661"/>
    </row>
    <row r="662" spans="15:15">
      <c r="O662"/>
    </row>
    <row r="663" spans="15:15">
      <c r="O663"/>
    </row>
    <row r="664" spans="15:15">
      <c r="O664"/>
    </row>
    <row r="665" spans="15:15">
      <c r="O665"/>
    </row>
    <row r="666" spans="15:15">
      <c r="O666"/>
    </row>
    <row r="667" spans="15:15">
      <c r="O667"/>
    </row>
    <row r="668" spans="15:15">
      <c r="O668"/>
    </row>
    <row r="669" spans="15:15">
      <c r="O669"/>
    </row>
    <row r="670" spans="15:15">
      <c r="O670"/>
    </row>
    <row r="671" spans="15:15">
      <c r="O671"/>
    </row>
    <row r="672" spans="15:15">
      <c r="O672"/>
    </row>
    <row r="673" spans="15:15">
      <c r="O673"/>
    </row>
    <row r="674" spans="15:15">
      <c r="O674"/>
    </row>
    <row r="675" spans="15:15">
      <c r="O675"/>
    </row>
    <row r="676" spans="15:15">
      <c r="O676"/>
    </row>
    <row r="677" spans="15:15">
      <c r="O677"/>
    </row>
    <row r="678" spans="15:15">
      <c r="O678"/>
    </row>
    <row r="679" spans="15:15">
      <c r="O679"/>
    </row>
    <row r="680" spans="15:15">
      <c r="O680"/>
    </row>
    <row r="681" spans="15:15">
      <c r="O681"/>
    </row>
    <row r="682" spans="15:15">
      <c r="O682"/>
    </row>
    <row r="683" spans="15:15">
      <c r="O683"/>
    </row>
    <row r="684" spans="15:15">
      <c r="O684"/>
    </row>
    <row r="685" spans="15:15">
      <c r="O685"/>
    </row>
    <row r="686" spans="15:15">
      <c r="O686"/>
    </row>
    <row r="687" spans="15:15">
      <c r="O687"/>
    </row>
    <row r="688" spans="15:15">
      <c r="O688"/>
    </row>
    <row r="689" spans="15:15">
      <c r="O689"/>
    </row>
    <row r="690" spans="15:15">
      <c r="O690"/>
    </row>
    <row r="691" spans="15:15">
      <c r="O691"/>
    </row>
    <row r="692" spans="15:15">
      <c r="O692"/>
    </row>
    <row r="693" spans="15:15">
      <c r="O693"/>
    </row>
    <row r="694" spans="15:15">
      <c r="O694"/>
    </row>
    <row r="695" spans="15:15">
      <c r="O695"/>
    </row>
    <row r="696" spans="15:15">
      <c r="O696"/>
    </row>
    <row r="697" spans="15:15">
      <c r="O697"/>
    </row>
    <row r="698" spans="15:15">
      <c r="O698"/>
    </row>
    <row r="699" spans="15:15">
      <c r="O699"/>
    </row>
    <row r="700" spans="15:15">
      <c r="O700"/>
    </row>
    <row r="701" spans="15:15">
      <c r="O701"/>
    </row>
    <row r="702" spans="15:15">
      <c r="O702"/>
    </row>
    <row r="703" spans="15:15">
      <c r="O703"/>
    </row>
    <row r="704" spans="15:15">
      <c r="O704"/>
    </row>
    <row r="705" spans="15:15">
      <c r="O705"/>
    </row>
    <row r="706" spans="15:15">
      <c r="O706"/>
    </row>
    <row r="707" spans="15:15">
      <c r="O707"/>
    </row>
    <row r="708" spans="15:15">
      <c r="O708"/>
    </row>
    <row r="709" spans="15:15">
      <c r="O709"/>
    </row>
    <row r="710" spans="15:15">
      <c r="O710"/>
    </row>
    <row r="711" spans="15:15">
      <c r="O711"/>
    </row>
    <row r="712" spans="15:15">
      <c r="O712"/>
    </row>
    <row r="713" spans="15:15">
      <c r="O713"/>
    </row>
    <row r="714" spans="15:15">
      <c r="O714"/>
    </row>
    <row r="715" spans="15:15">
      <c r="O715"/>
    </row>
    <row r="716" spans="15:15">
      <c r="O716"/>
    </row>
    <row r="717" spans="15:15">
      <c r="O717"/>
    </row>
    <row r="718" spans="15:15">
      <c r="O718"/>
    </row>
    <row r="719" spans="15:15">
      <c r="O719"/>
    </row>
    <row r="720" spans="15:15">
      <c r="O720"/>
    </row>
    <row r="721" spans="15:15">
      <c r="O721"/>
    </row>
    <row r="722" spans="15:15">
      <c r="O722"/>
    </row>
    <row r="723" spans="15:15">
      <c r="O723"/>
    </row>
    <row r="724" spans="15:15">
      <c r="O724"/>
    </row>
    <row r="725" spans="15:15">
      <c r="O725"/>
    </row>
    <row r="726" spans="15:15">
      <c r="O726"/>
    </row>
    <row r="727" spans="15:15">
      <c r="O727"/>
    </row>
    <row r="728" spans="15:15">
      <c r="O728"/>
    </row>
    <row r="729" spans="15:15">
      <c r="O729"/>
    </row>
    <row r="730" spans="15:15">
      <c r="O730"/>
    </row>
    <row r="731" spans="15:15">
      <c r="O731"/>
    </row>
    <row r="732" spans="15:15">
      <c r="O732"/>
    </row>
    <row r="733" spans="15:15">
      <c r="O733"/>
    </row>
    <row r="734" spans="15:15">
      <c r="O734"/>
    </row>
    <row r="735" spans="15:15">
      <c r="O735"/>
    </row>
    <row r="736" spans="15:15">
      <c r="O736"/>
    </row>
    <row r="737" spans="15:15">
      <c r="O737"/>
    </row>
    <row r="738" spans="15:15">
      <c r="O738"/>
    </row>
    <row r="739" spans="15:15">
      <c r="O739"/>
    </row>
    <row r="740" spans="15:15">
      <c r="O740"/>
    </row>
    <row r="741" spans="15:15">
      <c r="O741"/>
    </row>
    <row r="742" spans="15:15">
      <c r="O742"/>
    </row>
    <row r="743" spans="15:15">
      <c r="O743"/>
    </row>
    <row r="744" spans="15:15">
      <c r="O744"/>
    </row>
    <row r="745" spans="15:15">
      <c r="O745"/>
    </row>
    <row r="746" spans="15:15">
      <c r="O746"/>
    </row>
    <row r="747" spans="15:15">
      <c r="O747"/>
    </row>
    <row r="748" spans="15:15">
      <c r="O748"/>
    </row>
    <row r="749" spans="15:15">
      <c r="O749"/>
    </row>
    <row r="750" spans="15:15">
      <c r="O750"/>
    </row>
    <row r="751" spans="15:15">
      <c r="O751"/>
    </row>
    <row r="752" spans="15:15">
      <c r="O752"/>
    </row>
    <row r="753" spans="15:15">
      <c r="O753"/>
    </row>
    <row r="754" spans="15:15">
      <c r="O754"/>
    </row>
    <row r="755" spans="15:15">
      <c r="O755"/>
    </row>
    <row r="756" spans="15:15">
      <c r="O756"/>
    </row>
    <row r="757" spans="15:15">
      <c r="O757"/>
    </row>
    <row r="758" spans="15:15">
      <c r="O758"/>
    </row>
    <row r="759" spans="15:15">
      <c r="O759"/>
    </row>
    <row r="760" spans="15:15">
      <c r="O760"/>
    </row>
    <row r="761" spans="15:15">
      <c r="O761"/>
    </row>
    <row r="762" spans="15:15">
      <c r="O762"/>
    </row>
    <row r="763" spans="15:15">
      <c r="O763"/>
    </row>
    <row r="764" spans="15:15">
      <c r="O764"/>
    </row>
    <row r="765" spans="15:15">
      <c r="O765"/>
    </row>
    <row r="766" spans="15:15">
      <c r="O766"/>
    </row>
    <row r="767" spans="15:15">
      <c r="O767"/>
    </row>
    <row r="768" spans="15:15">
      <c r="O768"/>
    </row>
    <row r="769" spans="15:15">
      <c r="O769"/>
    </row>
    <row r="770" spans="15:15">
      <c r="O770"/>
    </row>
    <row r="771" spans="15:15">
      <c r="O771"/>
    </row>
    <row r="772" spans="15:15">
      <c r="O772"/>
    </row>
    <row r="773" spans="15:15">
      <c r="O773"/>
    </row>
    <row r="774" spans="15:15">
      <c r="O774"/>
    </row>
    <row r="775" spans="15:15">
      <c r="O775"/>
    </row>
    <row r="776" spans="15:15">
      <c r="O776"/>
    </row>
    <row r="777" spans="15:15">
      <c r="O777"/>
    </row>
    <row r="778" spans="15:15">
      <c r="O778"/>
    </row>
    <row r="779" spans="15:15">
      <c r="O779"/>
    </row>
    <row r="780" spans="15:15">
      <c r="O780"/>
    </row>
    <row r="781" spans="15:15">
      <c r="O781"/>
    </row>
    <row r="782" spans="15:15">
      <c r="O782"/>
    </row>
    <row r="783" spans="15:15">
      <c r="O783"/>
    </row>
    <row r="784" spans="15:15">
      <c r="O784"/>
    </row>
    <row r="785" spans="15:15">
      <c r="O785"/>
    </row>
    <row r="786" spans="15:15">
      <c r="O786"/>
    </row>
    <row r="787" spans="15:15">
      <c r="O787"/>
    </row>
    <row r="788" spans="15:15">
      <c r="O788"/>
    </row>
    <row r="789" spans="15:15">
      <c r="O789"/>
    </row>
    <row r="790" spans="15:15">
      <c r="O790"/>
    </row>
    <row r="791" spans="15:15">
      <c r="O791"/>
    </row>
    <row r="792" spans="15:15">
      <c r="O792"/>
    </row>
    <row r="793" spans="15:15">
      <c r="O793"/>
    </row>
    <row r="794" spans="15:15">
      <c r="O794"/>
    </row>
    <row r="795" spans="15:15">
      <c r="O795"/>
    </row>
    <row r="796" spans="15:15">
      <c r="O796"/>
    </row>
    <row r="797" spans="15:15">
      <c r="O797"/>
    </row>
    <row r="798" spans="15:15">
      <c r="O798"/>
    </row>
    <row r="799" spans="15:15">
      <c r="O799"/>
    </row>
    <row r="800" spans="15:15">
      <c r="O800"/>
    </row>
    <row r="801" spans="15:15">
      <c r="O801"/>
    </row>
    <row r="802" spans="15:15">
      <c r="O802"/>
    </row>
    <row r="803" spans="15:15">
      <c r="O803"/>
    </row>
    <row r="804" spans="15:15">
      <c r="O804"/>
    </row>
    <row r="805" spans="15:15">
      <c r="O805"/>
    </row>
    <row r="806" spans="15:15">
      <c r="O806"/>
    </row>
    <row r="807" spans="15:15">
      <c r="O807"/>
    </row>
    <row r="808" spans="15:15">
      <c r="O808"/>
    </row>
    <row r="809" spans="15:15">
      <c r="O809"/>
    </row>
    <row r="810" spans="15:15">
      <c r="O810"/>
    </row>
    <row r="811" spans="15:15">
      <c r="O811"/>
    </row>
    <row r="812" spans="15:15">
      <c r="O812"/>
    </row>
    <row r="813" spans="15:15">
      <c r="O813"/>
    </row>
    <row r="814" spans="15:15">
      <c r="O814"/>
    </row>
    <row r="815" spans="15:15">
      <c r="O815"/>
    </row>
    <row r="816" spans="15:15">
      <c r="O816"/>
    </row>
    <row r="817" spans="15:15">
      <c r="O817"/>
    </row>
    <row r="818" spans="15:15">
      <c r="O818"/>
    </row>
    <row r="819" spans="15:15">
      <c r="O819"/>
    </row>
    <row r="820" spans="15:15">
      <c r="O820"/>
    </row>
    <row r="821" spans="15:15">
      <c r="O821"/>
    </row>
    <row r="822" spans="15:15">
      <c r="O822"/>
    </row>
    <row r="823" spans="15:15">
      <c r="O823"/>
    </row>
    <row r="824" spans="15:15">
      <c r="O824"/>
    </row>
    <row r="825" spans="15:15">
      <c r="O825"/>
    </row>
    <row r="826" spans="15:15">
      <c r="O826"/>
    </row>
    <row r="827" spans="15:15">
      <c r="O827"/>
    </row>
    <row r="828" spans="15:15">
      <c r="O828"/>
    </row>
    <row r="829" spans="15:15">
      <c r="O829"/>
    </row>
    <row r="830" spans="15:15">
      <c r="O830"/>
    </row>
    <row r="831" spans="15:15">
      <c r="O831"/>
    </row>
    <row r="832" spans="15:15">
      <c r="O832"/>
    </row>
    <row r="833" spans="15:15">
      <c r="O833"/>
    </row>
    <row r="834" spans="15:15">
      <c r="O834"/>
    </row>
    <row r="835" spans="15:15">
      <c r="O835"/>
    </row>
    <row r="836" spans="15:15">
      <c r="O836"/>
    </row>
    <row r="837" spans="15:15">
      <c r="O837"/>
    </row>
    <row r="838" spans="15:15">
      <c r="O838"/>
    </row>
    <row r="839" spans="15:15">
      <c r="O839"/>
    </row>
    <row r="840" spans="15:15">
      <c r="O840"/>
    </row>
    <row r="841" spans="15:15">
      <c r="O841"/>
    </row>
    <row r="842" spans="15:15">
      <c r="O842"/>
    </row>
    <row r="843" spans="15:15">
      <c r="O843"/>
    </row>
    <row r="844" spans="15:15">
      <c r="O844"/>
    </row>
    <row r="845" spans="15:15">
      <c r="O845"/>
    </row>
    <row r="846" spans="15:15">
      <c r="O846"/>
    </row>
    <row r="847" spans="15:15">
      <c r="O847"/>
    </row>
    <row r="848" spans="15:15">
      <c r="O848"/>
    </row>
    <row r="849" spans="15:15">
      <c r="O849"/>
    </row>
    <row r="850" spans="15:15">
      <c r="O850"/>
    </row>
    <row r="851" spans="15:15">
      <c r="O851"/>
    </row>
    <row r="852" spans="15:15">
      <c r="O852"/>
    </row>
    <row r="853" spans="15:15">
      <c r="O853"/>
    </row>
    <row r="854" spans="15:15">
      <c r="O854"/>
    </row>
    <row r="855" spans="15:15">
      <c r="O855"/>
    </row>
    <row r="856" spans="15:15">
      <c r="O856"/>
    </row>
    <row r="857" spans="15:15">
      <c r="O857"/>
    </row>
    <row r="858" spans="15:15">
      <c r="O858"/>
    </row>
    <row r="859" spans="15:15">
      <c r="O859"/>
    </row>
    <row r="860" spans="15:15">
      <c r="O860"/>
    </row>
    <row r="861" spans="15:15">
      <c r="O861"/>
    </row>
    <row r="862" spans="15:15">
      <c r="O862"/>
    </row>
    <row r="863" spans="15:15">
      <c r="O863"/>
    </row>
    <row r="864" spans="15:15">
      <c r="O864"/>
    </row>
    <row r="865" spans="15:15">
      <c r="O865"/>
    </row>
    <row r="866" spans="15:15">
      <c r="O866"/>
    </row>
    <row r="867" spans="15:15">
      <c r="O867"/>
    </row>
    <row r="868" spans="15:15">
      <c r="O868"/>
    </row>
    <row r="869" spans="15:15">
      <c r="O869"/>
    </row>
    <row r="870" spans="15:15">
      <c r="O870"/>
    </row>
    <row r="871" spans="15:15">
      <c r="O871"/>
    </row>
    <row r="872" spans="15:15">
      <c r="O872"/>
    </row>
    <row r="873" spans="15:15">
      <c r="O873"/>
    </row>
    <row r="874" spans="15:15">
      <c r="O874"/>
    </row>
    <row r="875" spans="15:15">
      <c r="O875"/>
    </row>
    <row r="876" spans="15:15">
      <c r="O876"/>
    </row>
    <row r="877" spans="15:15">
      <c r="O877"/>
    </row>
    <row r="878" spans="15:15">
      <c r="O878"/>
    </row>
    <row r="879" spans="15:15">
      <c r="O879"/>
    </row>
    <row r="880" spans="15:15">
      <c r="O880"/>
    </row>
    <row r="881" spans="15:15">
      <c r="O881"/>
    </row>
    <row r="882" spans="15:15">
      <c r="O882"/>
    </row>
    <row r="883" spans="15:15">
      <c r="O883"/>
    </row>
    <row r="884" spans="15:15">
      <c r="O884"/>
    </row>
    <row r="885" spans="15:15">
      <c r="O885"/>
    </row>
    <row r="886" spans="15:15">
      <c r="O886"/>
    </row>
    <row r="887" spans="15:15">
      <c r="O887"/>
    </row>
    <row r="888" spans="15:15">
      <c r="O888"/>
    </row>
    <row r="889" spans="15:15">
      <c r="O889"/>
    </row>
    <row r="890" spans="15:15">
      <c r="O890"/>
    </row>
    <row r="891" spans="15:15">
      <c r="O891"/>
    </row>
    <row r="892" spans="15:15">
      <c r="O892"/>
    </row>
    <row r="893" spans="15:15">
      <c r="O893"/>
    </row>
    <row r="894" spans="15:15">
      <c r="O894"/>
    </row>
    <row r="895" spans="15:15">
      <c r="O895"/>
    </row>
    <row r="896" spans="15:15">
      <c r="O896"/>
    </row>
    <row r="897" spans="15:15">
      <c r="O897"/>
    </row>
    <row r="898" spans="15:15">
      <c r="O898"/>
    </row>
    <row r="899" spans="15:15">
      <c r="O899"/>
    </row>
    <row r="900" spans="15:15">
      <c r="O900"/>
    </row>
    <row r="901" spans="15:15">
      <c r="O901"/>
    </row>
    <row r="902" spans="15:15">
      <c r="O902"/>
    </row>
    <row r="903" spans="15:15">
      <c r="O903"/>
    </row>
    <row r="904" spans="15:15">
      <c r="O904"/>
    </row>
    <row r="905" spans="15:15">
      <c r="O905"/>
    </row>
    <row r="906" spans="15:15">
      <c r="O906"/>
    </row>
    <row r="907" spans="15:15">
      <c r="O907"/>
    </row>
    <row r="908" spans="15:15">
      <c r="O908"/>
    </row>
    <row r="909" spans="15:15">
      <c r="O909"/>
    </row>
    <row r="910" spans="15:15">
      <c r="O910"/>
    </row>
    <row r="911" spans="15:15">
      <c r="O911"/>
    </row>
    <row r="912" spans="15:15">
      <c r="O912"/>
    </row>
    <row r="913" spans="15:15">
      <c r="O913"/>
    </row>
    <row r="914" spans="15:15">
      <c r="O914"/>
    </row>
    <row r="915" spans="15:15">
      <c r="O915"/>
    </row>
    <row r="916" spans="15:15">
      <c r="O916"/>
    </row>
    <row r="917" spans="15:15">
      <c r="O917"/>
    </row>
    <row r="918" spans="15:15">
      <c r="O918"/>
    </row>
    <row r="919" spans="15:15">
      <c r="O919"/>
    </row>
    <row r="920" spans="15:15">
      <c r="O920"/>
    </row>
    <row r="921" spans="15:15">
      <c r="O921"/>
    </row>
    <row r="922" spans="15:15">
      <c r="O922"/>
    </row>
    <row r="923" spans="15:15">
      <c r="O923"/>
    </row>
    <row r="924" spans="15:15">
      <c r="O924"/>
    </row>
    <row r="925" spans="15:15">
      <c r="O925"/>
    </row>
    <row r="926" spans="15:15">
      <c r="O926"/>
    </row>
    <row r="927" spans="15:15">
      <c r="O927"/>
    </row>
    <row r="928" spans="15:15">
      <c r="O928"/>
    </row>
    <row r="929" spans="15:15">
      <c r="O929"/>
    </row>
    <row r="930" spans="15:15">
      <c r="O930"/>
    </row>
    <row r="931" spans="15:15">
      <c r="O931"/>
    </row>
    <row r="932" spans="15:15">
      <c r="O932"/>
    </row>
    <row r="933" spans="15:15">
      <c r="O933"/>
    </row>
    <row r="934" spans="15:15">
      <c r="O934"/>
    </row>
    <row r="935" spans="15:15">
      <c r="O935"/>
    </row>
    <row r="936" spans="15:15">
      <c r="O936"/>
    </row>
    <row r="937" spans="15:15">
      <c r="O937"/>
    </row>
    <row r="938" spans="15:15">
      <c r="O938"/>
    </row>
    <row r="939" spans="15:15">
      <c r="O939"/>
    </row>
    <row r="940" spans="15:15">
      <c r="O940"/>
    </row>
    <row r="941" spans="15:15">
      <c r="O941"/>
    </row>
    <row r="942" spans="15:15">
      <c r="O942"/>
    </row>
    <row r="943" spans="15:15">
      <c r="O943"/>
    </row>
    <row r="944" spans="15:15">
      <c r="O944"/>
    </row>
    <row r="945" spans="15:15">
      <c r="O945"/>
    </row>
    <row r="946" spans="15:15">
      <c r="O946"/>
    </row>
    <row r="947" spans="15:15">
      <c r="O947"/>
    </row>
    <row r="948" spans="15:15">
      <c r="O948"/>
    </row>
    <row r="949" spans="15:15">
      <c r="O949"/>
    </row>
    <row r="950" spans="15:15">
      <c r="O950"/>
    </row>
    <row r="951" spans="15:15">
      <c r="O951"/>
    </row>
    <row r="952" spans="15:15">
      <c r="O952"/>
    </row>
    <row r="953" spans="15:15">
      <c r="O953"/>
    </row>
    <row r="954" spans="15:15">
      <c r="O954"/>
    </row>
    <row r="955" spans="15:15">
      <c r="O955"/>
    </row>
    <row r="956" spans="15:15">
      <c r="O956"/>
    </row>
    <row r="957" spans="15:15">
      <c r="O957"/>
    </row>
    <row r="958" spans="15:15">
      <c r="O958"/>
    </row>
    <row r="959" spans="15:15">
      <c r="O959"/>
    </row>
    <row r="960" spans="15:15">
      <c r="O960"/>
    </row>
    <row r="961" spans="15:15">
      <c r="O961"/>
    </row>
    <row r="962" spans="15:15">
      <c r="O962"/>
    </row>
    <row r="963" spans="15:15">
      <c r="O963"/>
    </row>
    <row r="964" spans="15:15">
      <c r="O964"/>
    </row>
    <row r="965" spans="15:15">
      <c r="O965"/>
    </row>
    <row r="966" spans="15:15">
      <c r="O966"/>
    </row>
    <row r="967" spans="15:15">
      <c r="O967"/>
    </row>
    <row r="968" spans="15:15">
      <c r="O968"/>
    </row>
    <row r="969" spans="15:15">
      <c r="O969"/>
    </row>
    <row r="970" spans="15:15">
      <c r="O970"/>
    </row>
    <row r="971" spans="15:15">
      <c r="O971"/>
    </row>
    <row r="972" spans="15:15">
      <c r="O972"/>
    </row>
    <row r="973" spans="15:15">
      <c r="O973"/>
    </row>
    <row r="974" spans="15:15">
      <c r="O974"/>
    </row>
    <row r="975" spans="15:15">
      <c r="O975"/>
    </row>
    <row r="976" spans="15:15">
      <c r="O976"/>
    </row>
    <row r="977" spans="15:15">
      <c r="O977"/>
    </row>
    <row r="978" spans="15:15">
      <c r="O978"/>
    </row>
    <row r="979" spans="15:15">
      <c r="O979"/>
    </row>
    <row r="980" spans="15:15">
      <c r="O980"/>
    </row>
    <row r="981" spans="15:15">
      <c r="O981"/>
    </row>
    <row r="982" spans="15:15">
      <c r="O982"/>
    </row>
    <row r="983" spans="15:15">
      <c r="O983"/>
    </row>
    <row r="984" spans="15:15">
      <c r="O984"/>
    </row>
    <row r="985" spans="15:15">
      <c r="O985"/>
    </row>
    <row r="986" spans="15:15">
      <c r="O986"/>
    </row>
    <row r="987" spans="15:15">
      <c r="O987"/>
    </row>
    <row r="988" spans="15:15">
      <c r="O988"/>
    </row>
    <row r="989" spans="15:15">
      <c r="O989"/>
    </row>
    <row r="990" spans="15:15">
      <c r="O990"/>
    </row>
    <row r="991" spans="15:15">
      <c r="O991"/>
    </row>
    <row r="992" spans="15:15">
      <c r="O992"/>
    </row>
    <row r="993" spans="15:15">
      <c r="O993"/>
    </row>
    <row r="994" spans="15:15">
      <c r="O994"/>
    </row>
    <row r="995" spans="15:15">
      <c r="O995"/>
    </row>
    <row r="996" spans="15:15">
      <c r="O996"/>
    </row>
    <row r="997" spans="15:15">
      <c r="O997"/>
    </row>
    <row r="998" spans="15:15">
      <c r="O998"/>
    </row>
    <row r="999" spans="15:15">
      <c r="O999"/>
    </row>
    <row r="1000" spans="15:15">
      <c r="O1000"/>
    </row>
    <row r="1001" spans="15:15">
      <c r="O1001"/>
    </row>
    <row r="1002" spans="15:15">
      <c r="O1002"/>
    </row>
    <row r="1003" spans="15:15">
      <c r="O1003"/>
    </row>
    <row r="1004" spans="15:15">
      <c r="O1004"/>
    </row>
    <row r="1005" spans="15:15">
      <c r="O1005"/>
    </row>
    <row r="1006" spans="15:15">
      <c r="O1006"/>
    </row>
    <row r="1007" spans="15:15">
      <c r="O1007"/>
    </row>
    <row r="1008" spans="15:15">
      <c r="O1008"/>
    </row>
    <row r="1009" spans="15:15">
      <c r="O1009"/>
    </row>
    <row r="1010" spans="15:15">
      <c r="O1010"/>
    </row>
    <row r="1011" spans="15:15">
      <c r="O1011"/>
    </row>
    <row r="1012" spans="15:15">
      <c r="O1012"/>
    </row>
    <row r="1013" spans="15:15">
      <c r="O1013"/>
    </row>
    <row r="1014" spans="15:15">
      <c r="O1014"/>
    </row>
    <row r="1015" spans="15:15">
      <c r="O1015"/>
    </row>
    <row r="1016" spans="15:15">
      <c r="O1016"/>
    </row>
    <row r="1017" spans="15:15">
      <c r="O1017"/>
    </row>
    <row r="1018" spans="15:15">
      <c r="O1018"/>
    </row>
    <row r="1019" spans="15:15">
      <c r="O1019"/>
    </row>
    <row r="1020" spans="15:15">
      <c r="O1020"/>
    </row>
    <row r="1021" spans="15:15">
      <c r="O1021"/>
    </row>
    <row r="1022" spans="15:15">
      <c r="O1022"/>
    </row>
    <row r="1023" spans="15:15">
      <c r="O1023"/>
    </row>
    <row r="1024" spans="15:15">
      <c r="O1024"/>
    </row>
    <row r="1025" spans="15:15">
      <c r="O1025"/>
    </row>
    <row r="1026" spans="15:15">
      <c r="O1026"/>
    </row>
    <row r="1027" spans="15:15">
      <c r="O1027"/>
    </row>
    <row r="1028" spans="15:15">
      <c r="O1028"/>
    </row>
    <row r="1029" spans="15:15">
      <c r="O1029"/>
    </row>
    <row r="1030" spans="15:15">
      <c r="O1030"/>
    </row>
    <row r="1031" spans="15:15">
      <c r="O1031"/>
    </row>
    <row r="1032" spans="15:15">
      <c r="O1032"/>
    </row>
    <row r="1033" spans="15:15">
      <c r="O1033"/>
    </row>
    <row r="1034" spans="15:15">
      <c r="O1034"/>
    </row>
    <row r="1035" spans="15:15">
      <c r="O1035"/>
    </row>
    <row r="1036" spans="15:15">
      <c r="O1036"/>
    </row>
    <row r="1037" spans="15:15">
      <c r="O1037"/>
    </row>
    <row r="1038" spans="15:15">
      <c r="O1038"/>
    </row>
    <row r="1039" spans="15:15">
      <c r="O1039"/>
    </row>
    <row r="1040" spans="15:15">
      <c r="O1040"/>
    </row>
    <row r="1041" spans="15:15">
      <c r="O1041"/>
    </row>
    <row r="1042" spans="15:15">
      <c r="O1042"/>
    </row>
    <row r="1043" spans="15:15">
      <c r="O1043"/>
    </row>
    <row r="1044" spans="15:15">
      <c r="O1044"/>
    </row>
    <row r="1045" spans="15:15">
      <c r="O1045"/>
    </row>
    <row r="1046" spans="15:15">
      <c r="O1046"/>
    </row>
    <row r="1047" spans="15:15">
      <c r="O1047"/>
    </row>
    <row r="1048" spans="15:15">
      <c r="O1048"/>
    </row>
    <row r="1049" spans="15:15">
      <c r="O1049"/>
    </row>
    <row r="1050" spans="15:15">
      <c r="O1050"/>
    </row>
    <row r="1051" spans="15:15">
      <c r="O1051"/>
    </row>
    <row r="1052" spans="15:15">
      <c r="O1052"/>
    </row>
    <row r="1053" spans="15:15">
      <c r="O1053"/>
    </row>
    <row r="1054" spans="15:15">
      <c r="O1054"/>
    </row>
    <row r="1055" spans="15:15">
      <c r="O1055"/>
    </row>
    <row r="1056" spans="15:15">
      <c r="O1056"/>
    </row>
    <row r="1057" spans="15:15">
      <c r="O1057"/>
    </row>
    <row r="1058" spans="15:15">
      <c r="O1058"/>
    </row>
    <row r="1059" spans="15:15">
      <c r="O1059"/>
    </row>
    <row r="1060" spans="15:15">
      <c r="O1060"/>
    </row>
    <row r="1061" spans="15:15">
      <c r="O1061"/>
    </row>
    <row r="1062" spans="15:15">
      <c r="O1062"/>
    </row>
    <row r="1063" spans="15:15">
      <c r="O1063"/>
    </row>
    <row r="1064" spans="15:15">
      <c r="O1064"/>
    </row>
    <row r="1065" spans="15:15">
      <c r="O1065"/>
    </row>
    <row r="1066" spans="15:15">
      <c r="O1066"/>
    </row>
    <row r="1067" spans="15:15">
      <c r="O1067"/>
    </row>
    <row r="1068" spans="15:15">
      <c r="O1068"/>
    </row>
    <row r="1069" spans="15:15">
      <c r="O1069"/>
    </row>
    <row r="1070" spans="15:15">
      <c r="O1070"/>
    </row>
    <row r="1071" spans="15:15">
      <c r="O1071"/>
    </row>
    <row r="1072" spans="15:15">
      <c r="O1072"/>
    </row>
    <row r="1073" spans="15:15">
      <c r="O1073"/>
    </row>
    <row r="1074" spans="15:15">
      <c r="O1074"/>
    </row>
    <row r="1075" spans="15:15">
      <c r="O1075"/>
    </row>
    <row r="1076" spans="15:15">
      <c r="O1076"/>
    </row>
    <row r="1077" spans="15:15">
      <c r="O1077"/>
    </row>
    <row r="1078" spans="15:15">
      <c r="O1078"/>
    </row>
    <row r="1079" spans="15:15">
      <c r="O1079"/>
    </row>
    <row r="1080" spans="15:15">
      <c r="O1080"/>
    </row>
    <row r="1081" spans="15:15">
      <c r="O1081"/>
    </row>
    <row r="1082" spans="15:15">
      <c r="O1082"/>
    </row>
    <row r="1083" spans="15:15">
      <c r="O1083"/>
    </row>
    <row r="1084" spans="15:15">
      <c r="O1084"/>
    </row>
    <row r="1085" spans="15:15">
      <c r="O1085"/>
    </row>
    <row r="1086" spans="15:15">
      <c r="O1086"/>
    </row>
    <row r="1087" spans="15:15">
      <c r="O1087"/>
    </row>
    <row r="1088" spans="15:15">
      <c r="O1088"/>
    </row>
    <row r="1089" spans="15:15">
      <c r="O1089"/>
    </row>
    <row r="1090" spans="15:15">
      <c r="O1090"/>
    </row>
    <row r="1091" spans="15:15">
      <c r="O1091"/>
    </row>
    <row r="1092" spans="15:15">
      <c r="O1092"/>
    </row>
    <row r="1093" spans="15:15">
      <c r="O1093"/>
    </row>
    <row r="1094" spans="15:15">
      <c r="O1094"/>
    </row>
    <row r="1095" spans="15:15">
      <c r="O1095"/>
    </row>
    <row r="1096" spans="15:15">
      <c r="O1096"/>
    </row>
    <row r="1097" spans="15:15">
      <c r="O1097"/>
    </row>
    <row r="1098" spans="15:15">
      <c r="O1098"/>
    </row>
    <row r="1099" spans="15:15">
      <c r="O1099"/>
    </row>
    <row r="1100" spans="15:15">
      <c r="O1100"/>
    </row>
    <row r="1101" spans="15:15">
      <c r="O1101"/>
    </row>
    <row r="1102" spans="15:15">
      <c r="O1102"/>
    </row>
    <row r="1103" spans="15:15">
      <c r="O1103"/>
    </row>
    <row r="1104" spans="15:15">
      <c r="O1104"/>
    </row>
    <row r="1105" spans="15:15">
      <c r="O1105"/>
    </row>
    <row r="1106" spans="15:15">
      <c r="O1106"/>
    </row>
    <row r="1107" spans="15:15">
      <c r="O1107"/>
    </row>
    <row r="1108" spans="15:15">
      <c r="O1108"/>
    </row>
    <row r="1109" spans="15:15">
      <c r="O1109"/>
    </row>
    <row r="1110" spans="15:15">
      <c r="O1110"/>
    </row>
    <row r="1111" spans="15:15">
      <c r="O1111"/>
    </row>
    <row r="1112" spans="15:15">
      <c r="O1112"/>
    </row>
    <row r="1113" spans="15:15">
      <c r="O1113"/>
    </row>
    <row r="1114" spans="15:15">
      <c r="O1114"/>
    </row>
    <row r="1115" spans="15:15">
      <c r="O1115"/>
    </row>
    <row r="1116" spans="15:15">
      <c r="O1116"/>
    </row>
    <row r="1117" spans="15:15">
      <c r="O1117"/>
    </row>
    <row r="1118" spans="15:15">
      <c r="O1118"/>
    </row>
    <row r="1119" spans="15:15">
      <c r="O1119"/>
    </row>
    <row r="1120" spans="15:15">
      <c r="O1120"/>
    </row>
    <row r="1121" spans="15:15">
      <c r="O1121"/>
    </row>
    <row r="1122" spans="15:15">
      <c r="O1122"/>
    </row>
    <row r="1123" spans="15:15">
      <c r="O1123"/>
    </row>
    <row r="1124" spans="15:15">
      <c r="O1124"/>
    </row>
    <row r="1125" spans="15:15">
      <c r="O1125"/>
    </row>
    <row r="1126" spans="15:15">
      <c r="O1126"/>
    </row>
    <row r="1127" spans="15:15">
      <c r="O1127"/>
    </row>
    <row r="1128" spans="15:15">
      <c r="O1128"/>
    </row>
    <row r="1129" spans="15:15">
      <c r="O1129"/>
    </row>
    <row r="1130" spans="15:15">
      <c r="O1130"/>
    </row>
    <row r="1131" spans="15:15">
      <c r="O1131"/>
    </row>
    <row r="1132" spans="15:15">
      <c r="O1132"/>
    </row>
    <row r="1133" spans="15:15">
      <c r="O1133"/>
    </row>
    <row r="1134" spans="15:15">
      <c r="O1134"/>
    </row>
    <row r="1135" spans="15:15">
      <c r="O1135"/>
    </row>
    <row r="1136" spans="15:15">
      <c r="O1136"/>
    </row>
    <row r="1137" spans="15:15">
      <c r="O1137"/>
    </row>
    <row r="1138" spans="15:15">
      <c r="O1138"/>
    </row>
    <row r="1139" spans="15:15">
      <c r="O1139"/>
    </row>
    <row r="1140" spans="15:15">
      <c r="O1140"/>
    </row>
    <row r="1141" spans="15:15">
      <c r="O1141"/>
    </row>
    <row r="1142" spans="15:15">
      <c r="O1142"/>
    </row>
    <row r="1143" spans="15:15">
      <c r="O1143"/>
    </row>
    <row r="1144" spans="15:15">
      <c r="O1144"/>
    </row>
    <row r="1145" spans="15:15">
      <c r="O1145"/>
    </row>
    <row r="1146" spans="15:15">
      <c r="O1146"/>
    </row>
    <row r="1147" spans="15:15">
      <c r="O1147"/>
    </row>
    <row r="1148" spans="15:15">
      <c r="O1148"/>
    </row>
    <row r="1149" spans="15:15">
      <c r="O1149"/>
    </row>
    <row r="1150" spans="15:15">
      <c r="O1150"/>
    </row>
    <row r="1151" spans="15:15">
      <c r="O1151"/>
    </row>
    <row r="1152" spans="15:15">
      <c r="O1152"/>
    </row>
    <row r="1153" spans="15:15">
      <c r="O1153"/>
    </row>
    <row r="1154" spans="15:15">
      <c r="O1154"/>
    </row>
    <row r="1155" spans="15:15">
      <c r="O1155"/>
    </row>
    <row r="1156" spans="15:15">
      <c r="O1156"/>
    </row>
    <row r="1157" spans="15:15">
      <c r="O1157"/>
    </row>
    <row r="1158" spans="15:15">
      <c r="O1158"/>
    </row>
    <row r="1159" spans="15:15">
      <c r="O1159"/>
    </row>
    <row r="1160" spans="15:15">
      <c r="O1160"/>
    </row>
    <row r="1161" spans="15:15">
      <c r="O1161"/>
    </row>
    <row r="1162" spans="15:15">
      <c r="O1162"/>
    </row>
    <row r="1163" spans="15:15">
      <c r="O1163"/>
    </row>
    <row r="1164" spans="15:15">
      <c r="O1164"/>
    </row>
    <row r="1165" spans="15:15">
      <c r="O1165"/>
    </row>
    <row r="1166" spans="15:15">
      <c r="O1166"/>
    </row>
    <row r="1167" spans="15:15">
      <c r="O1167"/>
    </row>
    <row r="1168" spans="15:15">
      <c r="O1168"/>
    </row>
    <row r="1169" spans="15:15">
      <c r="O1169"/>
    </row>
    <row r="1170" spans="15:15">
      <c r="O1170"/>
    </row>
    <row r="1171" spans="15:15">
      <c r="O1171"/>
    </row>
    <row r="1172" spans="15:15">
      <c r="O1172"/>
    </row>
    <row r="1173" spans="15:15">
      <c r="O1173"/>
    </row>
    <row r="1174" spans="15:15">
      <c r="O1174"/>
    </row>
    <row r="1175" spans="15:15">
      <c r="O1175"/>
    </row>
    <row r="1176" spans="15:15">
      <c r="O1176"/>
    </row>
    <row r="1177" spans="15:15">
      <c r="O1177"/>
    </row>
    <row r="1178" spans="15:15">
      <c r="O1178"/>
    </row>
    <row r="1179" spans="15:15">
      <c r="O1179"/>
    </row>
    <row r="1180" spans="15:15">
      <c r="O1180"/>
    </row>
    <row r="1181" spans="15:15">
      <c r="O1181"/>
    </row>
    <row r="1182" spans="15:15">
      <c r="O1182"/>
    </row>
    <row r="1183" spans="15:15">
      <c r="O1183"/>
    </row>
    <row r="1184" spans="15:15">
      <c r="O1184"/>
    </row>
    <row r="1185" spans="15:15">
      <c r="O1185"/>
    </row>
    <row r="1186" spans="15:15">
      <c r="O1186"/>
    </row>
    <row r="1187" spans="15:15">
      <c r="O1187"/>
    </row>
    <row r="1188" spans="15:15">
      <c r="O1188"/>
    </row>
    <row r="1189" spans="15:15">
      <c r="O1189"/>
    </row>
    <row r="1190" spans="15:15">
      <c r="O1190"/>
    </row>
    <row r="1191" spans="15:15">
      <c r="O1191"/>
    </row>
    <row r="1192" spans="15:15">
      <c r="O1192"/>
    </row>
    <row r="1193" spans="15:15">
      <c r="O1193"/>
    </row>
    <row r="1194" spans="15:15">
      <c r="O1194"/>
    </row>
    <row r="1195" spans="15:15">
      <c r="O1195"/>
    </row>
    <row r="1196" spans="15:15">
      <c r="O1196"/>
    </row>
    <row r="1197" spans="15:15">
      <c r="O1197"/>
    </row>
    <row r="1198" spans="15:15">
      <c r="O1198"/>
    </row>
    <row r="1199" spans="15:15">
      <c r="O1199"/>
    </row>
    <row r="1200" spans="15:15">
      <c r="O1200"/>
    </row>
    <row r="1201" spans="15:15">
      <c r="O1201"/>
    </row>
    <row r="1202" spans="15:15">
      <c r="O1202"/>
    </row>
    <row r="1203" spans="15:15">
      <c r="O1203"/>
    </row>
    <row r="1204" spans="15:15">
      <c r="O1204"/>
    </row>
    <row r="1205" spans="15:15">
      <c r="O1205"/>
    </row>
    <row r="1206" spans="15:15">
      <c r="O1206"/>
    </row>
    <row r="1207" spans="15:15">
      <c r="O1207"/>
    </row>
    <row r="1208" spans="15:15">
      <c r="O1208"/>
    </row>
    <row r="1209" spans="15:15">
      <c r="O1209"/>
    </row>
    <row r="1210" spans="15:15">
      <c r="O1210"/>
    </row>
    <row r="1211" spans="15:15">
      <c r="O1211"/>
    </row>
    <row r="1212" spans="15:15">
      <c r="O1212"/>
    </row>
    <row r="1213" spans="15:15">
      <c r="O1213"/>
    </row>
    <row r="1214" spans="15:15">
      <c r="O1214"/>
    </row>
    <row r="1215" spans="15:15">
      <c r="O1215"/>
    </row>
    <row r="1216" spans="15:15">
      <c r="O1216"/>
    </row>
    <row r="1217" spans="15:15">
      <c r="O1217"/>
    </row>
    <row r="1218" spans="15:15">
      <c r="O1218"/>
    </row>
    <row r="1219" spans="15:15">
      <c r="O1219"/>
    </row>
    <row r="1220" spans="15:15">
      <c r="O1220"/>
    </row>
    <row r="1221" spans="15:15">
      <c r="O1221"/>
    </row>
    <row r="1222" spans="15:15">
      <c r="O1222"/>
    </row>
    <row r="1223" spans="15:15">
      <c r="O1223"/>
    </row>
    <row r="1224" spans="15:15">
      <c r="O1224"/>
    </row>
    <row r="1225" spans="15:15">
      <c r="O1225"/>
    </row>
    <row r="1226" spans="15:15">
      <c r="O1226"/>
    </row>
    <row r="1227" spans="15:15">
      <c r="O1227"/>
    </row>
    <row r="1228" spans="15:15">
      <c r="O1228"/>
    </row>
    <row r="1229" spans="15:15">
      <c r="O1229"/>
    </row>
    <row r="1230" spans="15:15">
      <c r="O1230"/>
    </row>
    <row r="1231" spans="15:15">
      <c r="O1231"/>
    </row>
    <row r="1232" spans="15:15">
      <c r="O1232"/>
    </row>
    <row r="1233" spans="15:15">
      <c r="O1233"/>
    </row>
    <row r="1234" spans="15:15">
      <c r="O1234"/>
    </row>
    <row r="1235" spans="15:15">
      <c r="O1235"/>
    </row>
    <row r="1236" spans="15:15">
      <c r="O1236"/>
    </row>
    <row r="1237" spans="15:15">
      <c r="O1237"/>
    </row>
    <row r="1238" spans="15:15">
      <c r="O1238"/>
    </row>
    <row r="1239" spans="15:15">
      <c r="O1239"/>
    </row>
    <row r="1240" spans="15:15">
      <c r="O1240"/>
    </row>
    <row r="1241" spans="15:15">
      <c r="O1241"/>
    </row>
    <row r="1242" spans="15:15">
      <c r="O1242"/>
    </row>
    <row r="1243" spans="15:15">
      <c r="O1243"/>
    </row>
    <row r="1244" spans="15:15">
      <c r="O1244"/>
    </row>
    <row r="1245" spans="15:15">
      <c r="O1245"/>
    </row>
    <row r="1246" spans="15:15">
      <c r="O1246"/>
    </row>
    <row r="1247" spans="15:15">
      <c r="O1247"/>
    </row>
    <row r="1248" spans="15:15">
      <c r="O1248"/>
    </row>
    <row r="1249" spans="15:15">
      <c r="O1249"/>
    </row>
    <row r="1250" spans="15:15">
      <c r="O1250"/>
    </row>
    <row r="1251" spans="15:15">
      <c r="O1251"/>
    </row>
    <row r="1252" spans="15:15">
      <c r="O1252"/>
    </row>
    <row r="1253" spans="15:15">
      <c r="O1253"/>
    </row>
    <row r="1254" spans="15:15">
      <c r="O1254"/>
    </row>
    <row r="1255" spans="15:15">
      <c r="O1255"/>
    </row>
    <row r="1256" spans="15:15">
      <c r="O1256"/>
    </row>
    <row r="1257" spans="15:15">
      <c r="O1257"/>
    </row>
    <row r="1258" spans="15:15">
      <c r="O1258"/>
    </row>
    <row r="1259" spans="15:15">
      <c r="O1259"/>
    </row>
    <row r="1260" spans="15:15">
      <c r="O1260"/>
    </row>
    <row r="1261" spans="15:15">
      <c r="O1261"/>
    </row>
    <row r="1262" spans="15:15">
      <c r="O1262"/>
    </row>
    <row r="1263" spans="15:15">
      <c r="O1263"/>
    </row>
    <row r="1264" spans="15:15">
      <c r="O1264"/>
    </row>
    <row r="1265" spans="15:15">
      <c r="O1265"/>
    </row>
    <row r="1266" spans="15:15">
      <c r="O1266"/>
    </row>
    <row r="1267" spans="15:15">
      <c r="O1267"/>
    </row>
    <row r="1268" spans="15:15">
      <c r="O1268"/>
    </row>
    <row r="1269" spans="15:15">
      <c r="O1269"/>
    </row>
    <row r="1270" spans="15:15">
      <c r="O1270"/>
    </row>
    <row r="1271" spans="15:15">
      <c r="O1271"/>
    </row>
    <row r="1272" spans="15:15">
      <c r="O1272"/>
    </row>
    <row r="1273" spans="15:15">
      <c r="O1273"/>
    </row>
    <row r="1274" spans="15:15">
      <c r="O1274"/>
    </row>
    <row r="1275" spans="15:15">
      <c r="O1275"/>
    </row>
    <row r="1276" spans="15:15">
      <c r="O1276"/>
    </row>
    <row r="1277" spans="15:15">
      <c r="O1277"/>
    </row>
    <row r="1278" spans="15:15">
      <c r="O1278"/>
    </row>
    <row r="1279" spans="15:15">
      <c r="O1279"/>
    </row>
    <row r="1280" spans="15:15">
      <c r="O1280"/>
    </row>
    <row r="1281" spans="15:15">
      <c r="O1281"/>
    </row>
    <row r="1282" spans="15:15">
      <c r="O1282"/>
    </row>
    <row r="1283" spans="15:15">
      <c r="O1283"/>
    </row>
    <row r="1284" spans="15:15">
      <c r="O1284"/>
    </row>
    <row r="1285" spans="15:15">
      <c r="O1285"/>
    </row>
    <row r="1286" spans="15:15">
      <c r="O1286"/>
    </row>
    <row r="1287" spans="15:15">
      <c r="O1287"/>
    </row>
    <row r="1288" spans="15:15">
      <c r="O1288"/>
    </row>
    <row r="1289" spans="15:15">
      <c r="O1289"/>
    </row>
    <row r="1290" spans="15:15">
      <c r="O1290"/>
    </row>
    <row r="1291" spans="15:15">
      <c r="O1291"/>
    </row>
    <row r="1292" spans="15:15">
      <c r="O1292"/>
    </row>
    <row r="1293" spans="15:15">
      <c r="O1293"/>
    </row>
    <row r="1294" spans="15:15">
      <c r="O1294"/>
    </row>
    <row r="1295" spans="15:15">
      <c r="O1295"/>
    </row>
    <row r="1296" spans="15:15">
      <c r="O1296"/>
    </row>
    <row r="1297" spans="15:15">
      <c r="O1297"/>
    </row>
    <row r="1298" spans="15:15">
      <c r="O1298"/>
    </row>
    <row r="1299" spans="15:15">
      <c r="O1299"/>
    </row>
    <row r="1300" spans="15:15">
      <c r="O1300"/>
    </row>
    <row r="1301" spans="15:15">
      <c r="O1301"/>
    </row>
    <row r="1302" spans="15:15">
      <c r="O1302"/>
    </row>
    <row r="1303" spans="15:15">
      <c r="O1303"/>
    </row>
    <row r="1304" spans="15:15">
      <c r="O1304"/>
    </row>
    <row r="1305" spans="15:15">
      <c r="O1305"/>
    </row>
    <row r="1306" spans="15:15">
      <c r="O1306"/>
    </row>
    <row r="1307" spans="15:15">
      <c r="O1307"/>
    </row>
    <row r="1308" spans="15:15">
      <c r="O1308"/>
    </row>
    <row r="1309" spans="15:15">
      <c r="O1309"/>
    </row>
    <row r="1310" spans="15:15">
      <c r="O1310"/>
    </row>
    <row r="1311" spans="15:15">
      <c r="O1311"/>
    </row>
    <row r="1312" spans="15:15">
      <c r="O1312"/>
    </row>
    <row r="1313" spans="15:15">
      <c r="O1313"/>
    </row>
    <row r="1314" spans="15:15">
      <c r="O1314"/>
    </row>
    <row r="1315" spans="15:15">
      <c r="O1315"/>
    </row>
    <row r="1316" spans="15:15">
      <c r="O1316"/>
    </row>
    <row r="1317" spans="15:15">
      <c r="O1317"/>
    </row>
    <row r="1318" spans="15:15">
      <c r="O1318"/>
    </row>
    <row r="1319" spans="15:15">
      <c r="O1319"/>
    </row>
    <row r="1320" spans="15:15">
      <c r="O1320"/>
    </row>
    <row r="1321" spans="15:15">
      <c r="O1321"/>
    </row>
    <row r="1322" spans="15:15">
      <c r="O1322"/>
    </row>
    <row r="1323" spans="15:15">
      <c r="O1323"/>
    </row>
    <row r="1324" spans="15:15">
      <c r="O1324"/>
    </row>
    <row r="1325" spans="15:15">
      <c r="O1325"/>
    </row>
    <row r="1326" spans="15:15">
      <c r="O1326"/>
    </row>
    <row r="1327" spans="15:15">
      <c r="O1327"/>
    </row>
    <row r="1328" spans="15:15">
      <c r="O1328"/>
    </row>
    <row r="1329" spans="15:15">
      <c r="O1329"/>
    </row>
    <row r="1330" spans="15:15">
      <c r="O1330"/>
    </row>
    <row r="1331" spans="15:15">
      <c r="O1331"/>
    </row>
    <row r="1332" spans="15:15">
      <c r="O1332"/>
    </row>
    <row r="1333" spans="15:15">
      <c r="O1333"/>
    </row>
    <row r="1334" spans="15:15">
      <c r="O1334"/>
    </row>
    <row r="1335" spans="15:15">
      <c r="O1335"/>
    </row>
    <row r="1336" spans="15:15">
      <c r="O1336"/>
    </row>
    <row r="1337" spans="15:15">
      <c r="O1337"/>
    </row>
    <row r="1338" spans="15:15">
      <c r="O1338"/>
    </row>
    <row r="1339" spans="15:15">
      <c r="O1339"/>
    </row>
    <row r="1340" spans="15:15">
      <c r="O1340"/>
    </row>
    <row r="1341" spans="15:15">
      <c r="O1341"/>
    </row>
    <row r="1342" spans="15:15">
      <c r="O1342"/>
    </row>
    <row r="1343" spans="15:15">
      <c r="O1343"/>
    </row>
    <row r="1344" spans="15:15">
      <c r="O1344"/>
    </row>
    <row r="1345" spans="15:15">
      <c r="O1345"/>
    </row>
    <row r="1346" spans="15:15">
      <c r="O1346"/>
    </row>
    <row r="1347" spans="15:15">
      <c r="O1347"/>
    </row>
    <row r="1348" spans="15:15">
      <c r="O1348"/>
    </row>
    <row r="1349" spans="15:15">
      <c r="O1349"/>
    </row>
    <row r="1350" spans="15:15">
      <c r="O1350"/>
    </row>
    <row r="1351" spans="15:15">
      <c r="O1351"/>
    </row>
    <row r="1352" spans="15:15">
      <c r="O1352"/>
    </row>
    <row r="1353" spans="15:15">
      <c r="O1353"/>
    </row>
    <row r="1354" spans="15:15">
      <c r="O1354"/>
    </row>
    <row r="1355" spans="15:15">
      <c r="O1355"/>
    </row>
    <row r="1356" spans="15:15">
      <c r="O1356"/>
    </row>
    <row r="1357" spans="15:15">
      <c r="O1357"/>
    </row>
    <row r="1358" spans="15:15">
      <c r="O1358"/>
    </row>
    <row r="1359" spans="15:15">
      <c r="O1359"/>
    </row>
    <row r="1360" spans="15:15">
      <c r="O1360"/>
    </row>
    <row r="1361" spans="15:15">
      <c r="O1361"/>
    </row>
    <row r="1362" spans="15:15">
      <c r="O1362"/>
    </row>
    <row r="1363" spans="15:15">
      <c r="O1363"/>
    </row>
    <row r="1364" spans="15:15">
      <c r="O1364"/>
    </row>
    <row r="1365" spans="15:15">
      <c r="O1365"/>
    </row>
    <row r="1366" spans="15:15">
      <c r="O1366"/>
    </row>
    <row r="1367" spans="15:15">
      <c r="O1367"/>
    </row>
    <row r="1368" spans="15:15">
      <c r="O1368"/>
    </row>
    <row r="1369" spans="15:15">
      <c r="O1369"/>
    </row>
    <row r="1370" spans="15:15">
      <c r="O1370"/>
    </row>
    <row r="1371" spans="15:15">
      <c r="O1371"/>
    </row>
    <row r="1372" spans="15:15">
      <c r="O1372"/>
    </row>
    <row r="1373" spans="15:15">
      <c r="O1373"/>
    </row>
    <row r="1374" spans="15:15">
      <c r="O1374"/>
    </row>
    <row r="1375" spans="15:15">
      <c r="O1375"/>
    </row>
    <row r="1376" spans="15:15">
      <c r="O1376"/>
    </row>
    <row r="1377" spans="15:15">
      <c r="O1377"/>
    </row>
    <row r="1378" spans="15:15">
      <c r="O1378"/>
    </row>
    <row r="1379" spans="15:15">
      <c r="O1379"/>
    </row>
    <row r="1380" spans="15:15">
      <c r="O1380"/>
    </row>
    <row r="1381" spans="15:15">
      <c r="O1381"/>
    </row>
    <row r="1382" spans="15:15">
      <c r="O1382"/>
    </row>
    <row r="1383" spans="15:15">
      <c r="O1383"/>
    </row>
    <row r="1384" spans="15:15">
      <c r="O1384"/>
    </row>
    <row r="1385" spans="15:15">
      <c r="O1385"/>
    </row>
    <row r="1386" spans="15:15">
      <c r="O1386"/>
    </row>
    <row r="1387" spans="15:15">
      <c r="O1387"/>
    </row>
    <row r="1388" spans="15:15">
      <c r="O1388"/>
    </row>
    <row r="1389" spans="15:15">
      <c r="O1389"/>
    </row>
    <row r="1390" spans="15:15">
      <c r="O1390"/>
    </row>
    <row r="1391" spans="15:15">
      <c r="O1391"/>
    </row>
    <row r="1392" spans="15:15">
      <c r="O1392"/>
    </row>
    <row r="1393" spans="15:15">
      <c r="O1393"/>
    </row>
    <row r="1394" spans="15:15">
      <c r="O1394"/>
    </row>
    <row r="1395" spans="15:15">
      <c r="O1395"/>
    </row>
    <row r="1396" spans="15:15">
      <c r="O1396"/>
    </row>
    <row r="1397" spans="15:15">
      <c r="O1397"/>
    </row>
    <row r="1398" spans="15:15">
      <c r="O1398"/>
    </row>
    <row r="1399" spans="15:15">
      <c r="O1399"/>
    </row>
    <row r="1400" spans="15:15">
      <c r="O1400"/>
    </row>
    <row r="1401" spans="15:15">
      <c r="O1401"/>
    </row>
    <row r="1402" spans="15:15">
      <c r="O1402"/>
    </row>
    <row r="1403" spans="15:15">
      <c r="O1403"/>
    </row>
    <row r="1404" spans="15:15">
      <c r="O1404"/>
    </row>
    <row r="1405" spans="15:15">
      <c r="O1405"/>
    </row>
    <row r="1406" spans="15:15">
      <c r="O1406"/>
    </row>
    <row r="1407" spans="15:15">
      <c r="O1407"/>
    </row>
    <row r="1408" spans="15:15">
      <c r="O1408"/>
    </row>
    <row r="1409" spans="15:15">
      <c r="O1409"/>
    </row>
    <row r="1410" spans="15:15">
      <c r="O1410"/>
    </row>
    <row r="1411" spans="15:15">
      <c r="O1411"/>
    </row>
    <row r="1412" spans="15:15">
      <c r="O1412"/>
    </row>
    <row r="1413" spans="15:15">
      <c r="O1413"/>
    </row>
    <row r="1414" spans="15:15">
      <c r="O1414"/>
    </row>
    <row r="1415" spans="15:15">
      <c r="O1415"/>
    </row>
    <row r="1416" spans="15:15">
      <c r="O1416"/>
    </row>
    <row r="1417" spans="15:15">
      <c r="O1417"/>
    </row>
    <row r="1418" spans="15:15">
      <c r="O1418"/>
    </row>
    <row r="1419" spans="15:15">
      <c r="O1419"/>
    </row>
    <row r="1420" spans="15:15">
      <c r="O1420"/>
    </row>
    <row r="1421" spans="15:15">
      <c r="O1421"/>
    </row>
    <row r="1422" spans="15:15">
      <c r="O1422"/>
    </row>
    <row r="1423" spans="15:15">
      <c r="O1423"/>
    </row>
    <row r="1424" spans="15:15">
      <c r="O1424"/>
    </row>
    <row r="1425" spans="15:15">
      <c r="O1425"/>
    </row>
    <row r="1426" spans="15:15">
      <c r="O1426"/>
    </row>
    <row r="1427" spans="15:15">
      <c r="O1427"/>
    </row>
    <row r="1428" spans="15:15">
      <c r="O1428"/>
    </row>
    <row r="1429" spans="15:15">
      <c r="O1429"/>
    </row>
    <row r="1430" spans="15:15">
      <c r="O1430"/>
    </row>
    <row r="1431" spans="15:15">
      <c r="O1431"/>
    </row>
    <row r="1432" spans="15:15">
      <c r="O1432"/>
    </row>
    <row r="1433" spans="15:15">
      <c r="O1433"/>
    </row>
    <row r="1434" spans="15:15">
      <c r="O1434"/>
    </row>
    <row r="1435" spans="15:15">
      <c r="O1435"/>
    </row>
    <row r="1436" spans="15:15">
      <c r="O1436"/>
    </row>
    <row r="1437" spans="15:15">
      <c r="O1437"/>
    </row>
    <row r="1438" spans="15:15">
      <c r="O1438"/>
    </row>
    <row r="1439" spans="15:15">
      <c r="O1439"/>
    </row>
    <row r="1440" spans="15:15">
      <c r="O1440"/>
    </row>
    <row r="1441" spans="15:15">
      <c r="O1441"/>
    </row>
    <row r="1442" spans="15:15">
      <c r="O1442"/>
    </row>
    <row r="1443" spans="15:15">
      <c r="O1443"/>
    </row>
    <row r="1444" spans="15:15">
      <c r="O1444"/>
    </row>
    <row r="1445" spans="15:15">
      <c r="O1445"/>
    </row>
    <row r="1446" spans="15:15">
      <c r="O1446"/>
    </row>
    <row r="1447" spans="15:15">
      <c r="O1447"/>
    </row>
    <row r="1448" spans="15:15">
      <c r="O1448"/>
    </row>
    <row r="1449" spans="15:15">
      <c r="O1449"/>
    </row>
    <row r="1450" spans="15:15">
      <c r="O1450"/>
    </row>
    <row r="1451" spans="15:15">
      <c r="O1451"/>
    </row>
    <row r="1452" spans="15:15">
      <c r="O1452"/>
    </row>
    <row r="1453" spans="15:15">
      <c r="O1453"/>
    </row>
    <row r="1454" spans="15:15">
      <c r="O1454"/>
    </row>
    <row r="1455" spans="15:15">
      <c r="O1455"/>
    </row>
    <row r="1456" spans="15:15">
      <c r="O1456"/>
    </row>
    <row r="1457" spans="15:15">
      <c r="O1457"/>
    </row>
    <row r="1458" spans="15:15">
      <c r="O1458"/>
    </row>
    <row r="1459" spans="15:15">
      <c r="O1459"/>
    </row>
    <row r="1460" spans="15:15">
      <c r="O1460"/>
    </row>
    <row r="1461" spans="15:15">
      <c r="O1461"/>
    </row>
    <row r="1462" spans="15:15">
      <c r="O1462"/>
    </row>
    <row r="1463" spans="15:15">
      <c r="O1463"/>
    </row>
    <row r="1464" spans="15:15">
      <c r="O1464"/>
    </row>
    <row r="1465" spans="15:15">
      <c r="O1465"/>
    </row>
    <row r="1466" spans="15:15">
      <c r="O1466"/>
    </row>
    <row r="1467" spans="15:15">
      <c r="O1467"/>
    </row>
    <row r="1468" spans="15:15">
      <c r="O1468"/>
    </row>
    <row r="1469" spans="15:15">
      <c r="O1469"/>
    </row>
    <row r="1470" spans="15:15">
      <c r="O1470"/>
    </row>
    <row r="1471" spans="15:15">
      <c r="O1471"/>
    </row>
    <row r="1472" spans="15:15">
      <c r="O1472"/>
    </row>
    <row r="1473" spans="15:15">
      <c r="O1473"/>
    </row>
    <row r="1474" spans="15:15">
      <c r="O1474"/>
    </row>
    <row r="1475" spans="15:15">
      <c r="O1475"/>
    </row>
    <row r="1476" spans="15:15">
      <c r="O1476"/>
    </row>
    <row r="1477" spans="15:15">
      <c r="O1477"/>
    </row>
    <row r="1478" spans="15:15">
      <c r="O1478"/>
    </row>
    <row r="1479" spans="15:15">
      <c r="O1479"/>
    </row>
    <row r="1480" spans="15:15">
      <c r="O1480"/>
    </row>
    <row r="1481" spans="15:15">
      <c r="O1481"/>
    </row>
    <row r="1482" spans="15:15">
      <c r="O1482"/>
    </row>
    <row r="1483" spans="15:15">
      <c r="O1483"/>
    </row>
    <row r="1484" spans="15:15">
      <c r="O1484"/>
    </row>
    <row r="1485" spans="15:15">
      <c r="O1485"/>
    </row>
    <row r="1486" spans="15:15">
      <c r="O1486"/>
    </row>
    <row r="1487" spans="15:15">
      <c r="O1487"/>
    </row>
    <row r="1488" spans="15:15">
      <c r="O1488"/>
    </row>
    <row r="1489" spans="15:15">
      <c r="O1489"/>
    </row>
    <row r="1490" spans="15:15">
      <c r="O1490"/>
    </row>
    <row r="1491" spans="15:15">
      <c r="O1491"/>
    </row>
    <row r="1492" spans="15:15">
      <c r="O1492"/>
    </row>
    <row r="1493" spans="15:15">
      <c r="O1493"/>
    </row>
    <row r="1494" spans="15:15">
      <c r="O1494"/>
    </row>
    <row r="1495" spans="15:15">
      <c r="O1495"/>
    </row>
    <row r="1496" spans="15:15">
      <c r="O1496"/>
    </row>
    <row r="1497" spans="15:15">
      <c r="O1497"/>
    </row>
    <row r="1498" spans="15:15">
      <c r="O1498"/>
    </row>
    <row r="1499" spans="15:15">
      <c r="O1499"/>
    </row>
    <row r="1500" spans="15:15">
      <c r="O1500"/>
    </row>
    <row r="1501" spans="15:15">
      <c r="O1501"/>
    </row>
    <row r="1502" spans="15:15">
      <c r="O1502"/>
    </row>
    <row r="1503" spans="15:15">
      <c r="O1503"/>
    </row>
    <row r="1504" spans="15:15">
      <c r="O1504"/>
    </row>
    <row r="1505" spans="15:15">
      <c r="O1505"/>
    </row>
    <row r="1506" spans="15:15">
      <c r="O1506"/>
    </row>
    <row r="1507" spans="15:15">
      <c r="O1507"/>
    </row>
    <row r="1508" spans="15:15">
      <c r="O1508"/>
    </row>
    <row r="1509" spans="15:15">
      <c r="O1509"/>
    </row>
    <row r="1510" spans="15:15">
      <c r="O1510"/>
    </row>
    <row r="1511" spans="15:15">
      <c r="O1511"/>
    </row>
    <row r="1512" spans="15:15">
      <c r="O1512"/>
    </row>
    <row r="1513" spans="15:15">
      <c r="O1513"/>
    </row>
    <row r="1514" spans="15:15">
      <c r="O1514"/>
    </row>
    <row r="1515" spans="15:15">
      <c r="O1515"/>
    </row>
    <row r="1516" spans="15:15">
      <c r="O1516"/>
    </row>
    <row r="1517" spans="15:15">
      <c r="O1517"/>
    </row>
    <row r="1518" spans="15:15">
      <c r="O1518"/>
    </row>
    <row r="1519" spans="15:15">
      <c r="O1519"/>
    </row>
    <row r="1520" spans="15:15">
      <c r="O1520"/>
    </row>
    <row r="1521" spans="15:15">
      <c r="O1521"/>
    </row>
    <row r="1522" spans="15:15">
      <c r="O1522"/>
    </row>
    <row r="1523" spans="15:15">
      <c r="O1523"/>
    </row>
    <row r="1524" spans="15:15">
      <c r="O1524"/>
    </row>
    <row r="1525" spans="15:15">
      <c r="O1525"/>
    </row>
    <row r="1526" spans="15:15">
      <c r="O1526"/>
    </row>
    <row r="1527" spans="15:15">
      <c r="O1527"/>
    </row>
    <row r="1528" spans="15:15">
      <c r="O1528"/>
    </row>
    <row r="1529" spans="15:15">
      <c r="O1529"/>
    </row>
    <row r="1530" spans="15:15">
      <c r="O1530"/>
    </row>
    <row r="1531" spans="15:15">
      <c r="O1531"/>
    </row>
    <row r="1532" spans="15:15">
      <c r="O1532"/>
    </row>
    <row r="1533" spans="15:15">
      <c r="O1533"/>
    </row>
    <row r="1534" spans="15:15">
      <c r="O1534"/>
    </row>
    <row r="1535" spans="15:15">
      <c r="O1535"/>
    </row>
    <row r="1536" spans="15:15">
      <c r="O1536"/>
    </row>
    <row r="1537" spans="15:15">
      <c r="O1537"/>
    </row>
    <row r="1538" spans="15:15">
      <c r="O1538"/>
    </row>
    <row r="1539" spans="15:15">
      <c r="O1539"/>
    </row>
    <row r="1540" spans="15:15">
      <c r="O1540"/>
    </row>
    <row r="1541" spans="15:15">
      <c r="O1541"/>
    </row>
    <row r="1542" spans="15:15">
      <c r="O1542"/>
    </row>
    <row r="1543" spans="15:15">
      <c r="O1543"/>
    </row>
    <row r="1544" spans="15:15">
      <c r="O1544"/>
    </row>
    <row r="1545" spans="15:15">
      <c r="O1545"/>
    </row>
    <row r="1546" spans="15:15">
      <c r="O1546"/>
    </row>
    <row r="1547" spans="15:15">
      <c r="O1547"/>
    </row>
    <row r="1548" spans="15:15">
      <c r="O1548"/>
    </row>
    <row r="1549" spans="15:15">
      <c r="O1549"/>
    </row>
    <row r="1550" spans="15:15">
      <c r="O1550"/>
    </row>
    <row r="1551" spans="15:15">
      <c r="O1551"/>
    </row>
    <row r="1552" spans="15:15">
      <c r="O1552"/>
    </row>
    <row r="1553" spans="15:15">
      <c r="O1553"/>
    </row>
    <row r="1554" spans="15:15">
      <c r="O1554"/>
    </row>
    <row r="1555" spans="15:15">
      <c r="O1555"/>
    </row>
    <row r="1556" spans="15:15">
      <c r="O1556"/>
    </row>
    <row r="1557" spans="15:15">
      <c r="O1557"/>
    </row>
    <row r="1558" spans="15:15">
      <c r="O1558"/>
    </row>
    <row r="1559" spans="15:15">
      <c r="O1559"/>
    </row>
    <row r="1560" spans="15:15">
      <c r="O1560"/>
    </row>
    <row r="1561" spans="15:15">
      <c r="O1561"/>
    </row>
    <row r="1562" spans="15:15">
      <c r="O1562"/>
    </row>
    <row r="1563" spans="15:15">
      <c r="O1563"/>
    </row>
    <row r="1564" spans="15:15">
      <c r="O1564"/>
    </row>
    <row r="1565" spans="15:15">
      <c r="O1565"/>
    </row>
    <row r="1566" spans="15:15">
      <c r="O1566"/>
    </row>
    <row r="1567" spans="15:15">
      <c r="O1567"/>
    </row>
    <row r="1568" spans="15:15">
      <c r="O1568"/>
    </row>
    <row r="1569" spans="15:15">
      <c r="O1569"/>
    </row>
    <row r="1570" spans="15:15">
      <c r="O1570"/>
    </row>
    <row r="1571" spans="15:15">
      <c r="O1571"/>
    </row>
    <row r="1572" spans="15:15">
      <c r="O1572"/>
    </row>
    <row r="1573" spans="15:15">
      <c r="O1573"/>
    </row>
    <row r="1574" spans="15:15">
      <c r="O1574"/>
    </row>
    <row r="1575" spans="15:15">
      <c r="O1575"/>
    </row>
    <row r="1576" spans="15:15">
      <c r="O1576"/>
    </row>
    <row r="1577" spans="15:15">
      <c r="O1577"/>
    </row>
    <row r="1578" spans="15:15">
      <c r="O1578"/>
    </row>
    <row r="1579" spans="15:15">
      <c r="O1579"/>
    </row>
    <row r="1580" spans="15:15">
      <c r="O1580"/>
    </row>
    <row r="1581" spans="15:15">
      <c r="O1581"/>
    </row>
    <row r="1582" spans="15:15">
      <c r="O1582"/>
    </row>
    <row r="1583" spans="15:15">
      <c r="O1583"/>
    </row>
    <row r="1584" spans="15:15">
      <c r="O1584"/>
    </row>
    <row r="1585" spans="15:15">
      <c r="O1585"/>
    </row>
    <row r="1586" spans="15:15">
      <c r="O1586"/>
    </row>
    <row r="1587" spans="15:15">
      <c r="O1587"/>
    </row>
    <row r="1588" spans="15:15">
      <c r="O1588"/>
    </row>
    <row r="1589" spans="15:15">
      <c r="O1589"/>
    </row>
    <row r="1590" spans="15:15">
      <c r="O1590"/>
    </row>
    <row r="1591" spans="15:15">
      <c r="O1591"/>
    </row>
    <row r="1592" spans="15:15">
      <c r="O1592"/>
    </row>
    <row r="1593" spans="15:15">
      <c r="O1593"/>
    </row>
    <row r="1594" spans="15:15">
      <c r="O1594"/>
    </row>
    <row r="1595" spans="15:15">
      <c r="O1595"/>
    </row>
    <row r="1596" spans="15:15">
      <c r="O1596"/>
    </row>
    <row r="1597" spans="15:15">
      <c r="O1597"/>
    </row>
    <row r="1598" spans="15:15">
      <c r="O1598"/>
    </row>
    <row r="1599" spans="15:15">
      <c r="O1599"/>
    </row>
    <row r="1600" spans="15:15">
      <c r="O1600"/>
    </row>
    <row r="1601" spans="15:15">
      <c r="O1601"/>
    </row>
    <row r="1602" spans="15:15">
      <c r="O1602"/>
    </row>
    <row r="1603" spans="15:15">
      <c r="O1603"/>
    </row>
    <row r="1604" spans="15:15">
      <c r="O1604"/>
    </row>
    <row r="1605" spans="15:15">
      <c r="O1605"/>
    </row>
    <row r="1606" spans="15:15">
      <c r="O1606"/>
    </row>
    <row r="1607" spans="15:15">
      <c r="O1607"/>
    </row>
    <row r="1608" spans="15:15">
      <c r="O1608"/>
    </row>
    <row r="1609" spans="15:15">
      <c r="O1609"/>
    </row>
    <row r="1610" spans="15:15">
      <c r="O1610"/>
    </row>
    <row r="1611" spans="15:15">
      <c r="O1611"/>
    </row>
    <row r="1612" spans="15:15">
      <c r="O1612"/>
    </row>
    <row r="1613" spans="15:15">
      <c r="O1613"/>
    </row>
    <row r="1614" spans="15:15">
      <c r="O1614"/>
    </row>
    <row r="1615" spans="15:15">
      <c r="O1615"/>
    </row>
    <row r="1616" spans="15:15">
      <c r="O1616"/>
    </row>
    <row r="1617" spans="15:15">
      <c r="O1617"/>
    </row>
    <row r="1618" spans="15:15">
      <c r="O1618"/>
    </row>
    <row r="1619" spans="15:15">
      <c r="O1619"/>
    </row>
    <row r="1620" spans="15:15">
      <c r="O1620"/>
    </row>
    <row r="1621" spans="15:15">
      <c r="O1621"/>
    </row>
    <row r="1622" spans="15:15">
      <c r="O1622"/>
    </row>
    <row r="1623" spans="15:15">
      <c r="O1623"/>
    </row>
    <row r="1624" spans="15:15">
      <c r="O1624"/>
    </row>
    <row r="1625" spans="15:15">
      <c r="O1625"/>
    </row>
    <row r="1626" spans="15:15">
      <c r="O1626"/>
    </row>
    <row r="1627" spans="15:15">
      <c r="O1627"/>
    </row>
    <row r="1628" spans="15:15">
      <c r="O1628"/>
    </row>
    <row r="1629" spans="15:15">
      <c r="O1629"/>
    </row>
    <row r="1630" spans="15:15">
      <c r="O1630"/>
    </row>
    <row r="1631" spans="15:15">
      <c r="O1631"/>
    </row>
    <row r="1632" spans="15:15">
      <c r="O1632"/>
    </row>
    <row r="1633" spans="15:15">
      <c r="O1633"/>
    </row>
    <row r="1634" spans="15:15">
      <c r="O1634"/>
    </row>
    <row r="1635" spans="15:15">
      <c r="O1635"/>
    </row>
    <row r="1636" spans="15:15">
      <c r="O1636"/>
    </row>
    <row r="1637" spans="15:15">
      <c r="O1637"/>
    </row>
    <row r="1638" spans="15:15">
      <c r="O1638"/>
    </row>
    <row r="1639" spans="15:15">
      <c r="O1639"/>
    </row>
    <row r="1640" spans="15:15">
      <c r="O1640"/>
    </row>
    <row r="1641" spans="15:15">
      <c r="O1641"/>
    </row>
    <row r="1642" spans="15:15">
      <c r="O1642"/>
    </row>
    <row r="1643" spans="15:15">
      <c r="O1643"/>
    </row>
    <row r="1644" spans="15:15">
      <c r="O1644"/>
    </row>
    <row r="1645" spans="15:15">
      <c r="O1645"/>
    </row>
    <row r="1646" spans="15:15">
      <c r="O1646"/>
    </row>
    <row r="1647" spans="15:15">
      <c r="O1647"/>
    </row>
    <row r="1648" spans="15:15">
      <c r="O1648"/>
    </row>
    <row r="1649" spans="15:15">
      <c r="O1649"/>
    </row>
    <row r="1650" spans="15:15">
      <c r="O1650"/>
    </row>
    <row r="1651" spans="15:15">
      <c r="O1651"/>
    </row>
    <row r="1652" spans="15:15">
      <c r="O1652"/>
    </row>
    <row r="1653" spans="15:15">
      <c r="O1653"/>
    </row>
    <row r="1654" spans="15:15">
      <c r="O1654"/>
    </row>
    <row r="1655" spans="15:15">
      <c r="O1655"/>
    </row>
    <row r="1656" spans="15:15">
      <c r="O1656"/>
    </row>
    <row r="1657" spans="15:15">
      <c r="O1657"/>
    </row>
    <row r="1658" spans="15:15">
      <c r="O1658"/>
    </row>
    <row r="1659" spans="15:15">
      <c r="O1659"/>
    </row>
    <row r="1660" spans="15:15">
      <c r="O1660"/>
    </row>
    <row r="1661" spans="15:15">
      <c r="O1661"/>
    </row>
    <row r="1662" spans="15:15">
      <c r="O1662"/>
    </row>
    <row r="1663" spans="15:15">
      <c r="O1663"/>
    </row>
    <row r="1664" spans="15:15">
      <c r="O1664"/>
    </row>
    <row r="1665" spans="15:15">
      <c r="O1665"/>
    </row>
    <row r="1666" spans="15:15">
      <c r="O1666"/>
    </row>
    <row r="1667" spans="15:15">
      <c r="O1667"/>
    </row>
    <row r="1668" spans="15:15">
      <c r="O1668"/>
    </row>
    <row r="1669" spans="15:15">
      <c r="O1669"/>
    </row>
    <row r="1670" spans="15:15">
      <c r="O1670"/>
    </row>
    <row r="1671" spans="15:15">
      <c r="O1671"/>
    </row>
    <row r="1672" spans="15:15">
      <c r="O1672"/>
    </row>
    <row r="1673" spans="15:15">
      <c r="O1673"/>
    </row>
    <row r="1674" spans="15:15">
      <c r="O1674"/>
    </row>
    <row r="1675" spans="15:15">
      <c r="O1675"/>
    </row>
    <row r="1676" spans="15:15">
      <c r="O1676"/>
    </row>
    <row r="1677" spans="15:15">
      <c r="O1677"/>
    </row>
    <row r="1678" spans="15:15">
      <c r="O1678"/>
    </row>
    <row r="1679" spans="15:15">
      <c r="O1679"/>
    </row>
    <row r="1680" spans="15:15">
      <c r="O1680"/>
    </row>
    <row r="1681" spans="15:15">
      <c r="O1681"/>
    </row>
    <row r="1682" spans="15:15">
      <c r="O1682"/>
    </row>
    <row r="1683" spans="15:15">
      <c r="O1683"/>
    </row>
    <row r="1684" spans="15:15">
      <c r="O1684"/>
    </row>
    <row r="1685" spans="15:15">
      <c r="O1685"/>
    </row>
    <row r="1686" spans="15:15">
      <c r="O1686"/>
    </row>
    <row r="1687" spans="15:15">
      <c r="O1687"/>
    </row>
    <row r="1688" spans="15:15">
      <c r="O1688"/>
    </row>
    <row r="1689" spans="15:15">
      <c r="O1689"/>
    </row>
    <row r="1690" spans="15:15">
      <c r="O1690"/>
    </row>
    <row r="1691" spans="15:15">
      <c r="O1691"/>
    </row>
    <row r="1692" spans="15:15">
      <c r="O1692"/>
    </row>
    <row r="1693" spans="15:15">
      <c r="O1693"/>
    </row>
    <row r="1694" spans="15:15">
      <c r="O1694"/>
    </row>
    <row r="1695" spans="15:15">
      <c r="O1695"/>
    </row>
    <row r="1696" spans="15:15">
      <c r="O1696"/>
    </row>
    <row r="1697" spans="15:15">
      <c r="O1697"/>
    </row>
    <row r="1698" spans="15:15">
      <c r="O1698"/>
    </row>
    <row r="1699" spans="15:15">
      <c r="O1699"/>
    </row>
    <row r="1700" spans="15:15">
      <c r="O1700"/>
    </row>
    <row r="1701" spans="15:15">
      <c r="O1701"/>
    </row>
    <row r="1702" spans="15:15">
      <c r="O1702"/>
    </row>
    <row r="1703" spans="15:15">
      <c r="O1703"/>
    </row>
    <row r="1704" spans="15:15">
      <c r="O1704"/>
    </row>
    <row r="1705" spans="15:15">
      <c r="O1705"/>
    </row>
    <row r="1706" spans="15:15">
      <c r="O1706"/>
    </row>
    <row r="1707" spans="15:15">
      <c r="O1707"/>
    </row>
    <row r="1708" spans="15:15">
      <c r="O1708"/>
    </row>
    <row r="1709" spans="15:15">
      <c r="O1709"/>
    </row>
    <row r="1710" spans="15:15">
      <c r="O1710"/>
    </row>
    <row r="1711" spans="15:15">
      <c r="O1711"/>
    </row>
    <row r="1712" spans="15:15">
      <c r="O1712"/>
    </row>
    <row r="1713" spans="15:15">
      <c r="O1713"/>
    </row>
    <row r="1714" spans="15:15">
      <c r="O1714"/>
    </row>
    <row r="1715" spans="15:15">
      <c r="O1715"/>
    </row>
    <row r="1716" spans="15:15">
      <c r="O1716"/>
    </row>
    <row r="1717" spans="15:15">
      <c r="O1717"/>
    </row>
    <row r="1718" spans="15:15">
      <c r="O1718"/>
    </row>
    <row r="1719" spans="15:15">
      <c r="O1719"/>
    </row>
    <row r="1720" spans="15:15">
      <c r="O1720"/>
    </row>
    <row r="1721" spans="15:15">
      <c r="O1721"/>
    </row>
    <row r="1722" spans="15:15">
      <c r="O1722"/>
    </row>
    <row r="1723" spans="15:15">
      <c r="O1723"/>
    </row>
    <row r="1724" spans="15:15">
      <c r="O1724"/>
    </row>
    <row r="1725" spans="15:15">
      <c r="O1725"/>
    </row>
    <row r="1726" spans="15:15">
      <c r="O1726"/>
    </row>
    <row r="1727" spans="15:15">
      <c r="O1727"/>
    </row>
    <row r="1728" spans="15:15">
      <c r="O1728"/>
    </row>
    <row r="1729" spans="15:15">
      <c r="O1729"/>
    </row>
    <row r="1730" spans="15:15">
      <c r="O1730"/>
    </row>
    <row r="1731" spans="15:15">
      <c r="O1731"/>
    </row>
    <row r="1732" spans="15:15">
      <c r="O1732"/>
    </row>
    <row r="1733" spans="15:15">
      <c r="O1733"/>
    </row>
    <row r="1734" spans="15:15">
      <c r="O1734"/>
    </row>
    <row r="1735" spans="15:15">
      <c r="O1735"/>
    </row>
    <row r="1736" spans="15:15">
      <c r="O1736"/>
    </row>
    <row r="1737" spans="15:15">
      <c r="O1737"/>
    </row>
    <row r="1738" spans="15:15">
      <c r="O1738"/>
    </row>
    <row r="1739" spans="15:15">
      <c r="O1739"/>
    </row>
    <row r="1740" spans="15:15">
      <c r="O1740"/>
    </row>
    <row r="1741" spans="15:15">
      <c r="O1741"/>
    </row>
    <row r="1742" spans="15:15">
      <c r="O1742"/>
    </row>
    <row r="1743" spans="15:15">
      <c r="O1743"/>
    </row>
    <row r="1744" spans="15:15">
      <c r="O1744"/>
    </row>
    <row r="1745" spans="15:15">
      <c r="O1745"/>
    </row>
    <row r="1746" spans="15:15">
      <c r="O1746"/>
    </row>
    <row r="1747" spans="15:15">
      <c r="O1747"/>
    </row>
    <row r="1748" spans="15:15">
      <c r="O1748"/>
    </row>
    <row r="1749" spans="15:15">
      <c r="O1749"/>
    </row>
    <row r="1750" spans="15:15">
      <c r="O1750"/>
    </row>
    <row r="1751" spans="15:15">
      <c r="O1751"/>
    </row>
    <row r="1752" spans="15:15">
      <c r="O1752"/>
    </row>
    <row r="1753" spans="15:15">
      <c r="O1753"/>
    </row>
    <row r="1754" spans="15:15">
      <c r="O1754"/>
    </row>
    <row r="1755" spans="15:15">
      <c r="O1755"/>
    </row>
    <row r="1756" spans="15:15">
      <c r="O1756"/>
    </row>
    <row r="1757" spans="15:15">
      <c r="O1757"/>
    </row>
    <row r="1758" spans="15:15">
      <c r="O1758"/>
    </row>
    <row r="1759" spans="15:15">
      <c r="O1759"/>
    </row>
    <row r="1760" spans="15:15">
      <c r="O1760"/>
    </row>
    <row r="1761" spans="15:15">
      <c r="O1761"/>
    </row>
    <row r="1762" spans="15:15">
      <c r="O1762"/>
    </row>
    <row r="1763" spans="15:15">
      <c r="O1763"/>
    </row>
    <row r="1764" spans="15:15">
      <c r="O1764"/>
    </row>
    <row r="1765" spans="15:15">
      <c r="O1765"/>
    </row>
    <row r="1766" spans="15:15">
      <c r="O1766"/>
    </row>
    <row r="1767" spans="15:15">
      <c r="O1767"/>
    </row>
    <row r="1768" spans="15:15">
      <c r="O1768"/>
    </row>
    <row r="1769" spans="15:15">
      <c r="O1769"/>
    </row>
    <row r="1770" spans="15:15">
      <c r="O1770"/>
    </row>
    <row r="1771" spans="15:15">
      <c r="O1771"/>
    </row>
    <row r="1772" spans="15:15">
      <c r="O1772"/>
    </row>
    <row r="1773" spans="15:15">
      <c r="O1773"/>
    </row>
    <row r="1774" spans="15:15">
      <c r="O1774"/>
    </row>
    <row r="1775" spans="15:15">
      <c r="O1775"/>
    </row>
    <row r="1776" spans="15:15">
      <c r="O1776"/>
    </row>
    <row r="1777" spans="15:15">
      <c r="O1777"/>
    </row>
    <row r="1778" spans="15:15">
      <c r="O1778"/>
    </row>
    <row r="1779" spans="15:15">
      <c r="O1779"/>
    </row>
    <row r="1780" spans="15:15">
      <c r="O1780"/>
    </row>
    <row r="1781" spans="15:15">
      <c r="O1781"/>
    </row>
    <row r="1782" spans="15:15">
      <c r="O1782"/>
    </row>
    <row r="1783" spans="15:15">
      <c r="O1783"/>
    </row>
    <row r="1784" spans="15:15">
      <c r="O1784"/>
    </row>
    <row r="1785" spans="15:15">
      <c r="O1785"/>
    </row>
    <row r="1786" spans="15:15">
      <c r="O1786"/>
    </row>
    <row r="1787" spans="15:15">
      <c r="O1787"/>
    </row>
    <row r="1788" spans="15:15">
      <c r="O1788"/>
    </row>
    <row r="1789" spans="15:15">
      <c r="O1789"/>
    </row>
    <row r="1790" spans="15:15">
      <c r="O1790"/>
    </row>
    <row r="1791" spans="15:15">
      <c r="O1791"/>
    </row>
    <row r="1792" spans="15:15">
      <c r="O1792"/>
    </row>
    <row r="1793" spans="15:15">
      <c r="O1793"/>
    </row>
    <row r="1794" spans="15:15">
      <c r="O1794"/>
    </row>
    <row r="1795" spans="15:15">
      <c r="O1795"/>
    </row>
    <row r="1796" spans="15:15">
      <c r="O1796"/>
    </row>
    <row r="1797" spans="15:15">
      <c r="O1797"/>
    </row>
    <row r="1798" spans="15:15">
      <c r="O1798"/>
    </row>
    <row r="1799" spans="15:15">
      <c r="O1799"/>
    </row>
    <row r="1800" spans="15:15">
      <c r="O1800"/>
    </row>
    <row r="1801" spans="15:15">
      <c r="O1801"/>
    </row>
    <row r="1802" spans="15:15">
      <c r="O1802"/>
    </row>
    <row r="1803" spans="15:15">
      <c r="O1803"/>
    </row>
    <row r="1804" spans="15:15">
      <c r="O1804"/>
    </row>
    <row r="1805" spans="15:15">
      <c r="O1805"/>
    </row>
    <row r="1806" spans="15:15">
      <c r="O1806"/>
    </row>
    <row r="1807" spans="15:15">
      <c r="O1807"/>
    </row>
    <row r="1808" spans="15:15">
      <c r="O1808"/>
    </row>
    <row r="1809" spans="15:15">
      <c r="O1809"/>
    </row>
    <row r="1810" spans="15:15">
      <c r="O1810"/>
    </row>
    <row r="1811" spans="15:15">
      <c r="O1811"/>
    </row>
    <row r="1812" spans="15:15">
      <c r="O1812"/>
    </row>
    <row r="1813" spans="15:15">
      <c r="O1813"/>
    </row>
    <row r="1814" spans="15:15">
      <c r="O1814"/>
    </row>
    <row r="1815" spans="15:15">
      <c r="O1815"/>
    </row>
    <row r="1816" spans="15:15">
      <c r="O1816"/>
    </row>
    <row r="1817" spans="15:15">
      <c r="O1817"/>
    </row>
    <row r="1818" spans="15:15">
      <c r="O1818"/>
    </row>
    <row r="1819" spans="15:15">
      <c r="O1819"/>
    </row>
    <row r="1820" spans="15:15">
      <c r="O1820"/>
    </row>
    <row r="1821" spans="15:15">
      <c r="O1821"/>
    </row>
    <row r="1822" spans="15:15">
      <c r="O1822"/>
    </row>
    <row r="1823" spans="15:15">
      <c r="O1823"/>
    </row>
    <row r="1824" spans="15:15">
      <c r="O1824"/>
    </row>
    <row r="1825" spans="15:15">
      <c r="O1825"/>
    </row>
    <row r="1826" spans="15:15">
      <c r="O1826"/>
    </row>
    <row r="1827" spans="15:15">
      <c r="O1827"/>
    </row>
    <row r="1828" spans="15:15">
      <c r="O1828"/>
    </row>
    <row r="1829" spans="15:15">
      <c r="O1829"/>
    </row>
    <row r="1830" spans="15:15">
      <c r="O1830"/>
    </row>
    <row r="1831" spans="15:15">
      <c r="O1831"/>
    </row>
    <row r="1832" spans="15:15">
      <c r="O1832"/>
    </row>
    <row r="1833" spans="15:15">
      <c r="O1833"/>
    </row>
    <row r="1834" spans="15:15">
      <c r="O1834"/>
    </row>
    <row r="1835" spans="15:15">
      <c r="O1835"/>
    </row>
    <row r="1836" spans="15:15">
      <c r="O1836"/>
    </row>
    <row r="1837" spans="15:15">
      <c r="O1837"/>
    </row>
    <row r="1838" spans="15:15">
      <c r="O1838"/>
    </row>
    <row r="1839" spans="15:15">
      <c r="O1839"/>
    </row>
    <row r="1840" spans="15:15">
      <c r="O1840"/>
    </row>
    <row r="1841" spans="15:15">
      <c r="O1841"/>
    </row>
    <row r="1842" spans="15:15">
      <c r="O1842"/>
    </row>
    <row r="1843" spans="15:15">
      <c r="O1843"/>
    </row>
    <row r="1844" spans="15:15">
      <c r="O1844"/>
    </row>
    <row r="1845" spans="15:15">
      <c r="O1845"/>
    </row>
    <row r="1846" spans="15:15">
      <c r="O1846"/>
    </row>
    <row r="1847" spans="15:15">
      <c r="O1847"/>
    </row>
    <row r="1848" spans="15:15">
      <c r="O1848"/>
    </row>
    <row r="1849" spans="15:15">
      <c r="O1849"/>
    </row>
    <row r="1850" spans="15:15">
      <c r="O1850"/>
    </row>
    <row r="1851" spans="15:15">
      <c r="O1851"/>
    </row>
    <row r="1852" spans="15:15">
      <c r="O1852"/>
    </row>
    <row r="1853" spans="15:15">
      <c r="O1853"/>
    </row>
    <row r="1854" spans="15:15">
      <c r="O1854"/>
    </row>
    <row r="1855" spans="15:15">
      <c r="O1855"/>
    </row>
    <row r="1856" spans="15:15">
      <c r="O1856"/>
    </row>
    <row r="1857" spans="15:15">
      <c r="O1857"/>
    </row>
    <row r="1858" spans="15:15">
      <c r="O1858"/>
    </row>
    <row r="1859" spans="15:15">
      <c r="O1859"/>
    </row>
    <row r="1860" spans="15:15">
      <c r="O1860"/>
    </row>
    <row r="1861" spans="15:15">
      <c r="O1861"/>
    </row>
    <row r="1862" spans="15:15">
      <c r="O1862"/>
    </row>
    <row r="1863" spans="15:15">
      <c r="O1863"/>
    </row>
    <row r="1864" spans="15:15">
      <c r="O1864"/>
    </row>
    <row r="1865" spans="15:15">
      <c r="O1865"/>
    </row>
    <row r="1866" spans="15:15">
      <c r="O1866"/>
    </row>
    <row r="1867" spans="15:15">
      <c r="O1867"/>
    </row>
    <row r="1868" spans="15:15">
      <c r="O1868"/>
    </row>
    <row r="1869" spans="15:15">
      <c r="O1869"/>
    </row>
    <row r="1870" spans="15:15">
      <c r="O1870"/>
    </row>
    <row r="1871" spans="15:15">
      <c r="O1871"/>
    </row>
    <row r="1872" spans="15:15">
      <c r="O1872"/>
    </row>
    <row r="1873" spans="15:15">
      <c r="O1873"/>
    </row>
    <row r="1874" spans="15:15">
      <c r="O1874"/>
    </row>
    <row r="1875" spans="15:15">
      <c r="O1875"/>
    </row>
    <row r="1876" spans="15:15">
      <c r="O1876"/>
    </row>
    <row r="1877" spans="15:15">
      <c r="O1877"/>
    </row>
    <row r="1878" spans="15:15">
      <c r="O1878"/>
    </row>
    <row r="1879" spans="15:15">
      <c r="O1879"/>
    </row>
    <row r="1880" spans="15:15">
      <c r="O1880"/>
    </row>
    <row r="1881" spans="15:15">
      <c r="O1881"/>
    </row>
    <row r="1882" spans="15:15">
      <c r="O1882"/>
    </row>
    <row r="1883" spans="15:15">
      <c r="O1883"/>
    </row>
    <row r="1884" spans="15:15">
      <c r="O1884"/>
    </row>
    <row r="1885" spans="15:15">
      <c r="O1885"/>
    </row>
    <row r="1886" spans="15:15">
      <c r="O1886"/>
    </row>
    <row r="1887" spans="15:15">
      <c r="O1887"/>
    </row>
    <row r="1888" spans="15:15">
      <c r="O1888"/>
    </row>
    <row r="1889" spans="15:15">
      <c r="O1889"/>
    </row>
    <row r="1890" spans="15:15">
      <c r="O1890"/>
    </row>
    <row r="1891" spans="15:15">
      <c r="O1891"/>
    </row>
    <row r="1892" spans="15:15">
      <c r="O1892"/>
    </row>
    <row r="1893" spans="15:15">
      <c r="O1893"/>
    </row>
    <row r="1894" spans="15:15">
      <c r="O1894"/>
    </row>
    <row r="1895" spans="15:15">
      <c r="O1895"/>
    </row>
    <row r="1896" spans="15:15">
      <c r="O1896"/>
    </row>
    <row r="1897" spans="15:15">
      <c r="O1897"/>
    </row>
    <row r="1898" spans="15:15">
      <c r="O1898"/>
    </row>
    <row r="1899" spans="15:15">
      <c r="O1899"/>
    </row>
    <row r="1900" spans="15:15">
      <c r="O1900"/>
    </row>
    <row r="1901" spans="15:15">
      <c r="O1901"/>
    </row>
    <row r="1902" spans="15:15">
      <c r="O1902"/>
    </row>
    <row r="1903" spans="15:15">
      <c r="O1903"/>
    </row>
    <row r="1904" spans="15:15">
      <c r="O1904"/>
    </row>
    <row r="1905" spans="15:15">
      <c r="O1905"/>
    </row>
    <row r="1906" spans="15:15">
      <c r="O1906"/>
    </row>
    <row r="1907" spans="15:15">
      <c r="O1907"/>
    </row>
    <row r="1908" spans="15:15">
      <c r="O1908"/>
    </row>
    <row r="1909" spans="15:15">
      <c r="O1909"/>
    </row>
    <row r="1910" spans="15:15">
      <c r="O1910"/>
    </row>
    <row r="1911" spans="15:15">
      <c r="O1911"/>
    </row>
    <row r="1912" spans="15:15">
      <c r="O1912"/>
    </row>
    <row r="1913" spans="15:15">
      <c r="O1913"/>
    </row>
    <row r="1914" spans="15:15">
      <c r="O1914"/>
    </row>
    <row r="1915" spans="15:15">
      <c r="O1915"/>
    </row>
    <row r="1916" spans="15:15">
      <c r="O1916"/>
    </row>
    <row r="1917" spans="15:15">
      <c r="O1917"/>
    </row>
    <row r="1918" spans="15:15">
      <c r="O1918"/>
    </row>
    <row r="1919" spans="15:15">
      <c r="O1919"/>
    </row>
    <row r="1920" spans="15:15">
      <c r="O1920"/>
    </row>
    <row r="1921" spans="15:15">
      <c r="O1921"/>
    </row>
    <row r="1922" spans="15:15">
      <c r="O1922"/>
    </row>
    <row r="1923" spans="15:15">
      <c r="O1923"/>
    </row>
    <row r="1924" spans="15:15">
      <c r="O1924"/>
    </row>
    <row r="1925" spans="15:15">
      <c r="O1925"/>
    </row>
    <row r="1926" spans="15:15">
      <c r="O1926"/>
    </row>
    <row r="1927" spans="15:15">
      <c r="O1927"/>
    </row>
    <row r="1928" spans="15:15">
      <c r="O1928"/>
    </row>
    <row r="1929" spans="15:15">
      <c r="O1929"/>
    </row>
    <row r="1930" spans="15:15">
      <c r="O1930"/>
    </row>
    <row r="1931" spans="15:15">
      <c r="O1931"/>
    </row>
    <row r="1932" spans="15:15">
      <c r="O1932"/>
    </row>
    <row r="1933" spans="15:15">
      <c r="O1933"/>
    </row>
    <row r="1934" spans="15:15">
      <c r="O1934"/>
    </row>
    <row r="1935" spans="15:15">
      <c r="O1935"/>
    </row>
    <row r="1936" spans="15:15">
      <c r="O1936"/>
    </row>
    <row r="1937" spans="15:15">
      <c r="O1937"/>
    </row>
    <row r="1938" spans="15:15">
      <c r="O1938"/>
    </row>
    <row r="1939" spans="15:15">
      <c r="O1939"/>
    </row>
    <row r="1940" spans="15:15">
      <c r="O1940"/>
    </row>
    <row r="1941" spans="15:15">
      <c r="O1941"/>
    </row>
    <row r="1942" spans="15:15">
      <c r="O1942"/>
    </row>
    <row r="1943" spans="15:15">
      <c r="O1943"/>
    </row>
    <row r="1944" spans="15:15">
      <c r="O1944"/>
    </row>
    <row r="1945" spans="15:15">
      <c r="O1945"/>
    </row>
    <row r="1946" spans="15:15">
      <c r="O1946"/>
    </row>
    <row r="1947" spans="15:15">
      <c r="O1947"/>
    </row>
    <row r="1948" spans="15:15">
      <c r="O1948"/>
    </row>
    <row r="1949" spans="15:15">
      <c r="O1949"/>
    </row>
    <row r="1950" spans="15:15">
      <c r="O1950"/>
    </row>
    <row r="1951" spans="15:15">
      <c r="O1951"/>
    </row>
    <row r="1952" spans="15:15">
      <c r="O1952"/>
    </row>
    <row r="1953" spans="15:15">
      <c r="O1953"/>
    </row>
    <row r="1954" spans="15:15">
      <c r="O1954"/>
    </row>
    <row r="1955" spans="15:15">
      <c r="O1955"/>
    </row>
    <row r="1956" spans="15:15">
      <c r="O1956"/>
    </row>
    <row r="1957" spans="15:15">
      <c r="O1957"/>
    </row>
    <row r="1958" spans="15:15">
      <c r="O1958"/>
    </row>
    <row r="1959" spans="15:15">
      <c r="O1959"/>
    </row>
    <row r="1960" spans="15:15">
      <c r="O1960"/>
    </row>
    <row r="1961" spans="15:15">
      <c r="O1961"/>
    </row>
    <row r="1962" spans="15:15">
      <c r="O1962"/>
    </row>
    <row r="1963" spans="15:15">
      <c r="O1963"/>
    </row>
    <row r="1964" spans="15:15">
      <c r="O1964"/>
    </row>
    <row r="1965" spans="15:15">
      <c r="O1965"/>
    </row>
    <row r="1966" spans="15:15">
      <c r="O1966"/>
    </row>
    <row r="1967" spans="15:15">
      <c r="O1967"/>
    </row>
    <row r="1968" spans="15:15">
      <c r="O1968"/>
    </row>
    <row r="1969" spans="15:15">
      <c r="O1969"/>
    </row>
    <row r="1970" spans="15:15">
      <c r="O1970"/>
    </row>
    <row r="1971" spans="15:15">
      <c r="O1971"/>
    </row>
    <row r="1972" spans="15:15">
      <c r="O1972"/>
    </row>
    <row r="1973" spans="15:15">
      <c r="O1973"/>
    </row>
    <row r="1974" spans="15:15">
      <c r="O1974"/>
    </row>
    <row r="1975" spans="15:15">
      <c r="O1975"/>
    </row>
    <row r="1976" spans="15:15">
      <c r="O1976"/>
    </row>
    <row r="1977" spans="15:15">
      <c r="O1977"/>
    </row>
    <row r="1978" spans="15:15">
      <c r="O1978"/>
    </row>
    <row r="1979" spans="15:15">
      <c r="O1979"/>
    </row>
    <row r="1980" spans="15:15">
      <c r="O1980"/>
    </row>
    <row r="1981" spans="15:15">
      <c r="O1981"/>
    </row>
    <row r="1982" spans="15:15">
      <c r="O1982"/>
    </row>
    <row r="1983" spans="15:15">
      <c r="O1983"/>
    </row>
    <row r="1984" spans="15:15">
      <c r="O1984"/>
    </row>
    <row r="1985" spans="15:15">
      <c r="O1985"/>
    </row>
    <row r="1986" spans="15:15">
      <c r="O1986"/>
    </row>
    <row r="1987" spans="15:15">
      <c r="O1987"/>
    </row>
    <row r="1988" spans="15:15">
      <c r="O1988"/>
    </row>
    <row r="1989" spans="15:15">
      <c r="O1989"/>
    </row>
    <row r="1990" spans="15:15">
      <c r="O1990"/>
    </row>
    <row r="1991" spans="15:15">
      <c r="O1991"/>
    </row>
    <row r="1992" spans="15:15">
      <c r="O1992"/>
    </row>
    <row r="1993" spans="15:15">
      <c r="O1993"/>
    </row>
    <row r="1994" spans="15:15">
      <c r="O1994"/>
    </row>
    <row r="1995" spans="15:15">
      <c r="O1995"/>
    </row>
    <row r="1996" spans="15:15">
      <c r="O1996"/>
    </row>
    <row r="1997" spans="15:15">
      <c r="O1997"/>
    </row>
    <row r="1998" spans="15:15">
      <c r="O1998"/>
    </row>
    <row r="1999" spans="15:15">
      <c r="O1999"/>
    </row>
    <row r="2000" spans="15:15">
      <c r="O2000"/>
    </row>
    <row r="2001" spans="15:15">
      <c r="O2001"/>
    </row>
    <row r="2002" spans="15:15">
      <c r="O2002"/>
    </row>
    <row r="2003" spans="15:15">
      <c r="O2003"/>
    </row>
    <row r="2004" spans="15:15">
      <c r="O2004"/>
    </row>
    <row r="2005" spans="15:15">
      <c r="O2005"/>
    </row>
    <row r="2006" spans="15:15">
      <c r="O2006"/>
    </row>
    <row r="2007" spans="15:15">
      <c r="O2007"/>
    </row>
    <row r="2008" spans="15:15">
      <c r="O2008"/>
    </row>
    <row r="2009" spans="15:15">
      <c r="O2009"/>
    </row>
    <row r="2010" spans="15:15">
      <c r="O2010"/>
    </row>
    <row r="2011" spans="15:15">
      <c r="O2011"/>
    </row>
    <row r="2012" spans="15:15">
      <c r="O2012"/>
    </row>
    <row r="2013" spans="15:15">
      <c r="O2013"/>
    </row>
    <row r="2014" spans="15:15">
      <c r="O2014"/>
    </row>
    <row r="2015" spans="15:15">
      <c r="O2015"/>
    </row>
    <row r="2016" spans="15:15">
      <c r="O2016"/>
    </row>
    <row r="2017" spans="15:15">
      <c r="O2017"/>
    </row>
    <row r="2018" spans="15:15">
      <c r="O2018"/>
    </row>
    <row r="2019" spans="15:15">
      <c r="O2019"/>
    </row>
    <row r="2020" spans="15:15">
      <c r="O2020"/>
    </row>
    <row r="2021" spans="15:15">
      <c r="O2021"/>
    </row>
    <row r="2022" spans="15:15">
      <c r="O2022"/>
    </row>
    <row r="2023" spans="15:15">
      <c r="O2023"/>
    </row>
    <row r="2024" spans="15:15">
      <c r="O2024"/>
    </row>
    <row r="2025" spans="15:15">
      <c r="O2025"/>
    </row>
    <row r="2026" spans="15:15">
      <c r="O2026"/>
    </row>
    <row r="2027" spans="15:15">
      <c r="O2027"/>
    </row>
    <row r="2028" spans="15:15">
      <c r="O2028"/>
    </row>
    <row r="2029" spans="15:15">
      <c r="O2029"/>
    </row>
    <row r="2030" spans="15:15">
      <c r="O2030"/>
    </row>
    <row r="2031" spans="15:15">
      <c r="O2031"/>
    </row>
    <row r="2032" spans="15:15">
      <c r="O2032"/>
    </row>
    <row r="2033" spans="15:15">
      <c r="O2033"/>
    </row>
    <row r="2034" spans="15:15">
      <c r="O2034"/>
    </row>
    <row r="2035" spans="15:15">
      <c r="O2035"/>
    </row>
    <row r="2036" spans="15:15">
      <c r="O2036"/>
    </row>
    <row r="2037" spans="15:15">
      <c r="O2037"/>
    </row>
    <row r="2038" spans="15:15">
      <c r="O2038"/>
    </row>
    <row r="2039" spans="15:15">
      <c r="O2039"/>
    </row>
    <row r="2040" spans="15:15">
      <c r="O2040"/>
    </row>
    <row r="2041" spans="15:15">
      <c r="O2041"/>
    </row>
    <row r="2042" spans="15:15">
      <c r="O2042"/>
    </row>
    <row r="2043" spans="15:15">
      <c r="O2043"/>
    </row>
    <row r="2044" spans="15:15">
      <c r="O2044"/>
    </row>
    <row r="2045" spans="15:15">
      <c r="O2045"/>
    </row>
    <row r="2046" spans="15:15">
      <c r="O2046"/>
    </row>
    <row r="2047" spans="15:15">
      <c r="O2047"/>
    </row>
    <row r="2048" spans="15:15">
      <c r="O2048"/>
    </row>
    <row r="2049" spans="15:15">
      <c r="O2049"/>
    </row>
    <row r="2050" spans="15:15">
      <c r="O2050"/>
    </row>
    <row r="2051" spans="15:15">
      <c r="O2051"/>
    </row>
    <row r="2052" spans="15:15">
      <c r="O2052"/>
    </row>
    <row r="2053" spans="15:15">
      <c r="O2053"/>
    </row>
    <row r="2054" spans="15:15">
      <c r="O2054"/>
    </row>
    <row r="2055" spans="15:15">
      <c r="O2055"/>
    </row>
    <row r="2056" spans="15:15">
      <c r="O2056"/>
    </row>
    <row r="2057" spans="15:15">
      <c r="O2057"/>
    </row>
    <row r="2058" spans="15:15">
      <c r="O2058"/>
    </row>
    <row r="2059" spans="15:15">
      <c r="O2059"/>
    </row>
    <row r="2060" spans="15:15">
      <c r="O2060"/>
    </row>
    <row r="2061" spans="15:15">
      <c r="O2061"/>
    </row>
    <row r="2062" spans="15:15">
      <c r="O2062"/>
    </row>
    <row r="2063" spans="15:15">
      <c r="O2063"/>
    </row>
    <row r="2064" spans="15:15">
      <c r="O2064"/>
    </row>
    <row r="2065" spans="15:15">
      <c r="O2065"/>
    </row>
    <row r="2066" spans="15:15">
      <c r="O2066"/>
    </row>
    <row r="2067" spans="15:15">
      <c r="O2067"/>
    </row>
    <row r="2068" spans="15:15">
      <c r="O2068"/>
    </row>
    <row r="2069" spans="15:15">
      <c r="O2069"/>
    </row>
    <row r="2070" spans="15:15">
      <c r="O2070"/>
    </row>
    <row r="2071" spans="15:15">
      <c r="O2071"/>
    </row>
    <row r="2072" spans="15:15">
      <c r="O2072"/>
    </row>
    <row r="2073" spans="15:15">
      <c r="O2073"/>
    </row>
    <row r="2074" spans="15:15">
      <c r="O2074"/>
    </row>
    <row r="2075" spans="15:15">
      <c r="O2075"/>
    </row>
    <row r="2076" spans="15:15">
      <c r="O2076"/>
    </row>
    <row r="2077" spans="15:15">
      <c r="O2077"/>
    </row>
    <row r="2078" spans="15:15">
      <c r="O2078"/>
    </row>
    <row r="2079" spans="15:15">
      <c r="O2079"/>
    </row>
    <row r="2080" spans="15:15">
      <c r="O2080"/>
    </row>
    <row r="2081" spans="15:15">
      <c r="O2081"/>
    </row>
    <row r="2082" spans="15:15">
      <c r="O2082"/>
    </row>
    <row r="2083" spans="15:15">
      <c r="O2083"/>
    </row>
    <row r="2084" spans="15:15">
      <c r="O2084"/>
    </row>
    <row r="2085" spans="15:15">
      <c r="O2085"/>
    </row>
    <row r="2086" spans="15:15">
      <c r="O2086"/>
    </row>
    <row r="2087" spans="15:15">
      <c r="O2087"/>
    </row>
    <row r="2088" spans="15:15">
      <c r="O2088"/>
    </row>
    <row r="2089" spans="15:15">
      <c r="O2089"/>
    </row>
    <row r="2090" spans="15:15">
      <c r="O2090"/>
    </row>
    <row r="2091" spans="15:15">
      <c r="O2091"/>
    </row>
    <row r="2092" spans="15:15">
      <c r="O2092"/>
    </row>
    <row r="2093" spans="15:15">
      <c r="O2093"/>
    </row>
    <row r="2094" spans="15:15">
      <c r="O2094"/>
    </row>
    <row r="2095" spans="15:15">
      <c r="O2095"/>
    </row>
    <row r="2096" spans="15:15">
      <c r="O2096"/>
    </row>
    <row r="2097" spans="15:15">
      <c r="O2097"/>
    </row>
    <row r="2098" spans="15:15">
      <c r="O2098"/>
    </row>
    <row r="2099" spans="15:15">
      <c r="O2099"/>
    </row>
    <row r="2100" spans="15:15">
      <c r="O2100"/>
    </row>
    <row r="2101" spans="15:15">
      <c r="O2101"/>
    </row>
    <row r="2102" spans="15:15">
      <c r="O2102"/>
    </row>
    <row r="2103" spans="15:15">
      <c r="O2103"/>
    </row>
    <row r="2104" spans="15:15">
      <c r="O2104"/>
    </row>
    <row r="2105" spans="15:15">
      <c r="O2105"/>
    </row>
    <row r="2106" spans="15:15">
      <c r="O2106"/>
    </row>
    <row r="2107" spans="15:15">
      <c r="O2107"/>
    </row>
    <row r="2108" spans="15:15">
      <c r="O2108"/>
    </row>
    <row r="2109" spans="15:15">
      <c r="O2109"/>
    </row>
    <row r="2110" spans="15:15">
      <c r="O2110"/>
    </row>
    <row r="2111" spans="15:15">
      <c r="O2111"/>
    </row>
    <row r="2112" spans="15:15">
      <c r="O2112"/>
    </row>
    <row r="2113" spans="15:15">
      <c r="O2113"/>
    </row>
    <row r="2114" spans="15:15">
      <c r="O2114"/>
    </row>
    <row r="2115" spans="15:15">
      <c r="O2115"/>
    </row>
    <row r="2116" spans="15:15">
      <c r="O2116"/>
    </row>
    <row r="2117" spans="15:15">
      <c r="O2117"/>
    </row>
    <row r="2118" spans="15:15">
      <c r="O2118"/>
    </row>
    <row r="2119" spans="15:15">
      <c r="O2119"/>
    </row>
    <row r="2120" spans="15:15">
      <c r="O2120"/>
    </row>
    <row r="2121" spans="15:15">
      <c r="O2121"/>
    </row>
    <row r="2122" spans="15:15">
      <c r="O2122"/>
    </row>
    <row r="2123" spans="15:15">
      <c r="O2123"/>
    </row>
    <row r="2124" spans="15:15">
      <c r="O2124"/>
    </row>
    <row r="2125" spans="15:15">
      <c r="O2125"/>
    </row>
    <row r="2126" spans="15:15">
      <c r="O2126"/>
    </row>
    <row r="2127" spans="15:15">
      <c r="O2127"/>
    </row>
    <row r="2128" spans="15:15">
      <c r="O2128"/>
    </row>
    <row r="2129" spans="15:15">
      <c r="O2129"/>
    </row>
    <row r="2130" spans="15:15">
      <c r="O2130"/>
    </row>
    <row r="2131" spans="15:15">
      <c r="O2131"/>
    </row>
    <row r="2132" spans="15:15">
      <c r="O2132"/>
    </row>
    <row r="2133" spans="15:15">
      <c r="O2133"/>
    </row>
    <row r="2134" spans="15:15">
      <c r="O2134"/>
    </row>
    <row r="2135" spans="15:15">
      <c r="O2135"/>
    </row>
    <row r="2136" spans="15:15">
      <c r="O2136"/>
    </row>
    <row r="2137" spans="15:15">
      <c r="O2137"/>
    </row>
    <row r="2138" spans="15:15">
      <c r="O2138"/>
    </row>
    <row r="2139" spans="15:15">
      <c r="O2139"/>
    </row>
    <row r="2140" spans="15:15">
      <c r="O2140"/>
    </row>
    <row r="2141" spans="15:15">
      <c r="O2141"/>
    </row>
    <row r="2142" spans="15:15">
      <c r="O2142"/>
    </row>
    <row r="2143" spans="15:15">
      <c r="O2143"/>
    </row>
    <row r="2144" spans="15:15">
      <c r="O2144"/>
    </row>
    <row r="2145" spans="15:15">
      <c r="O2145"/>
    </row>
    <row r="2146" spans="15:15">
      <c r="O2146"/>
    </row>
    <row r="2147" spans="15:15">
      <c r="O2147"/>
    </row>
    <row r="2148" spans="15:15">
      <c r="O2148"/>
    </row>
    <row r="2149" spans="15:15">
      <c r="O2149"/>
    </row>
    <row r="2150" spans="15:15">
      <c r="O2150"/>
    </row>
    <row r="2151" spans="15:15">
      <c r="O2151"/>
    </row>
    <row r="2152" spans="15:15">
      <c r="O2152"/>
    </row>
    <row r="2153" spans="15:15">
      <c r="O2153"/>
    </row>
    <row r="2154" spans="15:15">
      <c r="O2154"/>
    </row>
    <row r="2155" spans="15:15">
      <c r="O2155"/>
    </row>
    <row r="2156" spans="15:15">
      <c r="O2156"/>
    </row>
    <row r="2157" spans="15:15">
      <c r="O2157"/>
    </row>
    <row r="2158" spans="15:15">
      <c r="O2158"/>
    </row>
    <row r="2159" spans="15:15">
      <c r="O2159"/>
    </row>
    <row r="2160" spans="15:15">
      <c r="O2160"/>
    </row>
    <row r="2161" spans="15:15">
      <c r="O2161"/>
    </row>
    <row r="2162" spans="15:15">
      <c r="O2162"/>
    </row>
    <row r="2163" spans="15:15">
      <c r="O2163"/>
    </row>
    <row r="2164" spans="15:15">
      <c r="O2164"/>
    </row>
    <row r="2165" spans="15:15">
      <c r="O2165"/>
    </row>
    <row r="2166" spans="15:15">
      <c r="O2166"/>
    </row>
    <row r="2167" spans="15:15">
      <c r="O2167"/>
    </row>
    <row r="2168" spans="15:15">
      <c r="O2168"/>
    </row>
    <row r="2169" spans="15:15">
      <c r="O2169"/>
    </row>
    <row r="2170" spans="15:15">
      <c r="O2170"/>
    </row>
    <row r="2171" spans="15:15">
      <c r="O2171"/>
    </row>
    <row r="2172" spans="15:15">
      <c r="O2172"/>
    </row>
    <row r="2173" spans="15:15">
      <c r="O2173"/>
    </row>
    <row r="2174" spans="15:15">
      <c r="O2174"/>
    </row>
    <row r="2175" spans="15:15">
      <c r="O2175"/>
    </row>
    <row r="2176" spans="15:15">
      <c r="O2176"/>
    </row>
    <row r="2177" spans="15:15">
      <c r="O2177"/>
    </row>
    <row r="2178" spans="15:15">
      <c r="O2178"/>
    </row>
    <row r="2179" spans="15:15">
      <c r="O2179"/>
    </row>
    <row r="2180" spans="15:15">
      <c r="O2180"/>
    </row>
    <row r="2181" spans="15:15">
      <c r="O2181"/>
    </row>
    <row r="2182" spans="15:15">
      <c r="O2182"/>
    </row>
    <row r="2183" spans="15:15">
      <c r="O2183"/>
    </row>
    <row r="2184" spans="15:15">
      <c r="O2184"/>
    </row>
    <row r="2185" spans="15:15">
      <c r="O2185"/>
    </row>
    <row r="2186" spans="15:15">
      <c r="O2186"/>
    </row>
    <row r="2187" spans="15:15">
      <c r="O2187"/>
    </row>
    <row r="2188" spans="15:15">
      <c r="O2188"/>
    </row>
    <row r="2189" spans="15:15">
      <c r="O2189"/>
    </row>
    <row r="2190" spans="15:15">
      <c r="O2190"/>
    </row>
    <row r="2191" spans="15:15">
      <c r="O2191"/>
    </row>
    <row r="2192" spans="15:15">
      <c r="O2192"/>
    </row>
    <row r="2193" spans="15:15">
      <c r="O2193"/>
    </row>
    <row r="2194" spans="15:15">
      <c r="O2194"/>
    </row>
    <row r="2195" spans="15:15">
      <c r="O2195"/>
    </row>
    <row r="2196" spans="15:15">
      <c r="O2196"/>
    </row>
    <row r="2197" spans="15:15">
      <c r="O2197"/>
    </row>
    <row r="2198" spans="15:15">
      <c r="O2198"/>
    </row>
    <row r="2199" spans="15:15">
      <c r="O2199"/>
    </row>
    <row r="2200" spans="15:15">
      <c r="O2200"/>
    </row>
    <row r="2201" spans="15:15">
      <c r="O2201"/>
    </row>
    <row r="2202" spans="15:15">
      <c r="O2202"/>
    </row>
    <row r="2203" spans="15:15">
      <c r="O2203"/>
    </row>
    <row r="2204" spans="15:15">
      <c r="O2204"/>
    </row>
    <row r="2205" spans="15:15">
      <c r="O2205"/>
    </row>
    <row r="2206" spans="15:15">
      <c r="O2206"/>
    </row>
    <row r="2207" spans="15:15">
      <c r="O2207"/>
    </row>
    <row r="2208" spans="15:15">
      <c r="O2208"/>
    </row>
    <row r="2209" spans="15:15">
      <c r="O2209"/>
    </row>
    <row r="2210" spans="15:15">
      <c r="O2210"/>
    </row>
    <row r="2211" spans="15:15">
      <c r="O2211"/>
    </row>
    <row r="2212" spans="15:15">
      <c r="O2212"/>
    </row>
    <row r="2213" spans="15:15">
      <c r="O2213"/>
    </row>
    <row r="2214" spans="15:15">
      <c r="O2214"/>
    </row>
    <row r="2215" spans="15:15">
      <c r="O2215"/>
    </row>
    <row r="2216" spans="15:15">
      <c r="O2216"/>
    </row>
    <row r="2217" spans="15:15">
      <c r="O2217"/>
    </row>
    <row r="2218" spans="15:15">
      <c r="O2218"/>
    </row>
    <row r="2219" spans="15:15">
      <c r="O2219"/>
    </row>
    <row r="2220" spans="15:15">
      <c r="O2220"/>
    </row>
    <row r="2221" spans="15:15">
      <c r="O2221"/>
    </row>
    <row r="2222" spans="15:15">
      <c r="O2222"/>
    </row>
    <row r="2223" spans="15:15">
      <c r="O2223"/>
    </row>
    <row r="2224" spans="15:15">
      <c r="O2224"/>
    </row>
    <row r="2225" spans="15:15">
      <c r="O2225"/>
    </row>
    <row r="2226" spans="15:15">
      <c r="O2226"/>
    </row>
    <row r="2227" spans="15:15">
      <c r="O2227"/>
    </row>
    <row r="2228" spans="15:15">
      <c r="O2228"/>
    </row>
    <row r="2229" spans="15:15">
      <c r="O2229"/>
    </row>
    <row r="2230" spans="15:15">
      <c r="O2230"/>
    </row>
    <row r="2231" spans="15:15">
      <c r="O2231"/>
    </row>
    <row r="2232" spans="15:15">
      <c r="O2232"/>
    </row>
    <row r="2233" spans="15:15">
      <c r="O2233"/>
    </row>
    <row r="2234" spans="15:15">
      <c r="O2234"/>
    </row>
    <row r="2235" spans="15:15">
      <c r="O2235"/>
    </row>
    <row r="2236" spans="15:15">
      <c r="O2236"/>
    </row>
    <row r="2237" spans="15:15">
      <c r="O2237"/>
    </row>
    <row r="2238" spans="15:15">
      <c r="O2238"/>
    </row>
    <row r="2239" spans="15:15">
      <c r="O2239"/>
    </row>
    <row r="2240" spans="15:15">
      <c r="O2240"/>
    </row>
    <row r="2241" spans="15:15">
      <c r="O2241"/>
    </row>
    <row r="2242" spans="15:15">
      <c r="O2242"/>
    </row>
    <row r="2243" spans="15:15">
      <c r="O2243"/>
    </row>
    <row r="2244" spans="15:15">
      <c r="O2244"/>
    </row>
    <row r="2245" spans="15:15">
      <c r="O2245"/>
    </row>
    <row r="2246" spans="15:15">
      <c r="O2246"/>
    </row>
    <row r="2247" spans="15:15">
      <c r="O2247"/>
    </row>
    <row r="2248" spans="15:15">
      <c r="O2248"/>
    </row>
    <row r="2249" spans="15:15">
      <c r="O2249"/>
    </row>
    <row r="2250" spans="15:15">
      <c r="O2250"/>
    </row>
    <row r="2251" spans="15:15">
      <c r="O2251"/>
    </row>
    <row r="2252" spans="15:15">
      <c r="O2252"/>
    </row>
    <row r="2253" spans="15:15">
      <c r="O2253"/>
    </row>
    <row r="2254" spans="15:15">
      <c r="O2254"/>
    </row>
    <row r="2255" spans="15:15">
      <c r="O2255"/>
    </row>
    <row r="2256" spans="15:15">
      <c r="O2256"/>
    </row>
    <row r="2257" spans="15:15">
      <c r="O2257"/>
    </row>
    <row r="2258" spans="15:15">
      <c r="O2258"/>
    </row>
    <row r="2259" spans="15:15">
      <c r="O2259"/>
    </row>
    <row r="2260" spans="15:15">
      <c r="O2260"/>
    </row>
    <row r="2261" spans="15:15">
      <c r="O2261"/>
    </row>
    <row r="2262" spans="15:15">
      <c r="O2262"/>
    </row>
    <row r="2263" spans="15:15">
      <c r="O2263"/>
    </row>
    <row r="2264" spans="15:15">
      <c r="O2264"/>
    </row>
    <row r="2265" spans="15:15">
      <c r="O2265"/>
    </row>
    <row r="2266" spans="15:15">
      <c r="O2266"/>
    </row>
    <row r="2267" spans="15:15">
      <c r="O2267"/>
    </row>
    <row r="2268" spans="15:15">
      <c r="O2268"/>
    </row>
    <row r="2269" spans="15:15">
      <c r="O2269"/>
    </row>
    <row r="2270" spans="15:15">
      <c r="O2270"/>
    </row>
    <row r="2271" spans="15:15">
      <c r="O2271"/>
    </row>
    <row r="2272" spans="15:15">
      <c r="O2272"/>
    </row>
    <row r="2273" spans="15:15">
      <c r="O2273"/>
    </row>
    <row r="2274" spans="15:15">
      <c r="O2274"/>
    </row>
    <row r="2275" spans="15:15">
      <c r="O2275"/>
    </row>
    <row r="2276" spans="15:15">
      <c r="O2276"/>
    </row>
    <row r="2277" spans="15:15">
      <c r="O2277"/>
    </row>
    <row r="2278" spans="15:15">
      <c r="O2278"/>
    </row>
    <row r="2279" spans="15:15">
      <c r="O2279"/>
    </row>
    <row r="2280" spans="15:15">
      <c r="O2280"/>
    </row>
    <row r="2281" spans="15:15">
      <c r="O2281"/>
    </row>
    <row r="2282" spans="15:15">
      <c r="O2282"/>
    </row>
    <row r="2283" spans="15:15">
      <c r="O2283"/>
    </row>
    <row r="2284" spans="15:15">
      <c r="O2284"/>
    </row>
    <row r="2285" spans="15:15">
      <c r="O2285"/>
    </row>
    <row r="2286" spans="15:15">
      <c r="O2286"/>
    </row>
    <row r="2287" spans="15:15">
      <c r="O2287"/>
    </row>
    <row r="2288" spans="15:15">
      <c r="O2288"/>
    </row>
    <row r="2289" spans="15:15">
      <c r="O2289"/>
    </row>
    <row r="2290" spans="15:15">
      <c r="O2290"/>
    </row>
    <row r="2291" spans="15:15">
      <c r="O2291"/>
    </row>
    <row r="2292" spans="15:15">
      <c r="O2292"/>
    </row>
    <row r="2293" spans="15:15">
      <c r="O2293"/>
    </row>
    <row r="2294" spans="15:15">
      <c r="O2294"/>
    </row>
    <row r="2295" spans="15:15">
      <c r="O2295"/>
    </row>
    <row r="2296" spans="15:15">
      <c r="O2296"/>
    </row>
    <row r="2297" spans="15:15">
      <c r="O2297"/>
    </row>
    <row r="2298" spans="15:15">
      <c r="O2298"/>
    </row>
    <row r="2299" spans="15:15">
      <c r="O2299"/>
    </row>
    <row r="2300" spans="15:15">
      <c r="O2300"/>
    </row>
    <row r="2301" spans="15:15">
      <c r="O2301"/>
    </row>
    <row r="2302" spans="15:15">
      <c r="O2302"/>
    </row>
    <row r="2303" spans="15:15">
      <c r="O2303"/>
    </row>
    <row r="2304" spans="15:15">
      <c r="O2304"/>
    </row>
    <row r="2305" spans="15:15">
      <c r="O2305"/>
    </row>
    <row r="2306" spans="15:15">
      <c r="O2306"/>
    </row>
    <row r="2307" spans="15:15">
      <c r="O2307"/>
    </row>
    <row r="2308" spans="15:15">
      <c r="O2308"/>
    </row>
    <row r="2309" spans="15:15">
      <c r="O2309"/>
    </row>
    <row r="2310" spans="15:15">
      <c r="O2310"/>
    </row>
    <row r="2311" spans="15:15">
      <c r="O2311"/>
    </row>
    <row r="2312" spans="15:15">
      <c r="O2312"/>
    </row>
    <row r="2313" spans="15:15">
      <c r="O2313"/>
    </row>
    <row r="2314" spans="15:15">
      <c r="O2314"/>
    </row>
    <row r="2315" spans="15:15">
      <c r="O2315"/>
    </row>
    <row r="2316" spans="15:15">
      <c r="O2316"/>
    </row>
    <row r="2317" spans="15:15">
      <c r="O2317"/>
    </row>
    <row r="2318" spans="15:15">
      <c r="O2318"/>
    </row>
    <row r="2319" spans="15:15">
      <c r="O2319"/>
    </row>
    <row r="2320" spans="15:15">
      <c r="O2320"/>
    </row>
    <row r="2321" spans="15:15">
      <c r="O2321"/>
    </row>
    <row r="2322" spans="15:15">
      <c r="O2322"/>
    </row>
    <row r="2323" spans="15:15">
      <c r="O2323"/>
    </row>
    <row r="2324" spans="15:15">
      <c r="O2324"/>
    </row>
    <row r="2325" spans="15:15">
      <c r="O2325"/>
    </row>
    <row r="2326" spans="15:15">
      <c r="O2326"/>
    </row>
    <row r="2327" spans="15:15">
      <c r="O2327"/>
    </row>
    <row r="2328" spans="15:15">
      <c r="O2328"/>
    </row>
    <row r="2329" spans="15:15">
      <c r="O2329"/>
    </row>
    <row r="2330" spans="15:15">
      <c r="O2330"/>
    </row>
    <row r="2331" spans="15:15">
      <c r="O2331"/>
    </row>
    <row r="2332" spans="15:15">
      <c r="O2332"/>
    </row>
    <row r="2333" spans="15:15">
      <c r="O2333"/>
    </row>
    <row r="2334" spans="15:15">
      <c r="O2334"/>
    </row>
    <row r="2335" spans="15:15">
      <c r="O2335"/>
    </row>
    <row r="2336" spans="15:15">
      <c r="O2336"/>
    </row>
    <row r="2337" spans="15:15">
      <c r="O2337"/>
    </row>
    <row r="2338" spans="15:15">
      <c r="O2338"/>
    </row>
    <row r="2339" spans="15:15">
      <c r="O2339"/>
    </row>
    <row r="2340" spans="15:15">
      <c r="O2340"/>
    </row>
    <row r="2341" spans="15:15">
      <c r="O2341"/>
    </row>
    <row r="2342" spans="15:15">
      <c r="O2342"/>
    </row>
    <row r="2343" spans="15:15">
      <c r="O2343"/>
    </row>
    <row r="2344" spans="15:15">
      <c r="O2344"/>
    </row>
    <row r="2345" spans="15:15">
      <c r="O2345"/>
    </row>
    <row r="2346" spans="15:15">
      <c r="O2346"/>
    </row>
    <row r="2347" spans="15:15">
      <c r="O2347"/>
    </row>
    <row r="2348" spans="15:15">
      <c r="O2348"/>
    </row>
    <row r="2349" spans="15:15">
      <c r="O2349"/>
    </row>
    <row r="2350" spans="15:15">
      <c r="O2350"/>
    </row>
    <row r="2351" spans="15:15">
      <c r="O2351"/>
    </row>
    <row r="2352" spans="15:15">
      <c r="O2352"/>
    </row>
    <row r="2353" spans="15:15">
      <c r="O2353"/>
    </row>
    <row r="2354" spans="15:15">
      <c r="O2354"/>
    </row>
    <row r="2355" spans="15:15">
      <c r="O2355"/>
    </row>
    <row r="2356" spans="15:15">
      <c r="O2356"/>
    </row>
    <row r="2357" spans="15:15">
      <c r="O2357"/>
    </row>
    <row r="2358" spans="15:15">
      <c r="O2358"/>
    </row>
    <row r="2359" spans="15:15">
      <c r="O2359"/>
    </row>
    <row r="2360" spans="15:15">
      <c r="O2360"/>
    </row>
    <row r="2361" spans="15:15">
      <c r="O2361"/>
    </row>
    <row r="2362" spans="15:15">
      <c r="O2362"/>
    </row>
    <row r="2363" spans="15:15">
      <c r="O2363"/>
    </row>
    <row r="2364" spans="15:15">
      <c r="O2364"/>
    </row>
    <row r="2365" spans="15:15">
      <c r="O2365"/>
    </row>
    <row r="2366" spans="15:15">
      <c r="O2366"/>
    </row>
    <row r="2367" spans="15:15">
      <c r="O2367"/>
    </row>
    <row r="2368" spans="15:15">
      <c r="O2368"/>
    </row>
    <row r="2369" spans="15:15">
      <c r="O2369"/>
    </row>
    <row r="2370" spans="15:15">
      <c r="O2370"/>
    </row>
    <row r="2371" spans="15:15">
      <c r="O2371"/>
    </row>
    <row r="2372" spans="15:15">
      <c r="O2372"/>
    </row>
    <row r="2373" spans="15:15">
      <c r="O2373"/>
    </row>
    <row r="2374" spans="15:15">
      <c r="O2374"/>
    </row>
    <row r="2375" spans="15:15">
      <c r="O2375"/>
    </row>
    <row r="2376" spans="15:15">
      <c r="O2376"/>
    </row>
    <row r="2377" spans="15:15">
      <c r="O2377"/>
    </row>
    <row r="2378" spans="15:15">
      <c r="O2378"/>
    </row>
    <row r="2379" spans="15:15">
      <c r="O2379"/>
    </row>
    <row r="2380" spans="15:15">
      <c r="O2380"/>
    </row>
    <row r="2381" spans="15:15">
      <c r="O2381"/>
    </row>
    <row r="2382" spans="15:15">
      <c r="O2382"/>
    </row>
    <row r="2383" spans="15:15">
      <c r="O2383"/>
    </row>
    <row r="2384" spans="15:15">
      <c r="O2384"/>
    </row>
    <row r="2385" spans="15:15">
      <c r="O2385"/>
    </row>
    <row r="2386" spans="15:15">
      <c r="O2386"/>
    </row>
    <row r="2387" spans="15:15">
      <c r="O2387"/>
    </row>
    <row r="2388" spans="15:15">
      <c r="O2388"/>
    </row>
    <row r="2389" spans="15:15">
      <c r="O2389"/>
    </row>
    <row r="2390" spans="15:15">
      <c r="O2390"/>
    </row>
    <row r="2391" spans="15:15">
      <c r="O2391"/>
    </row>
    <row r="2392" spans="15:15">
      <c r="O2392"/>
    </row>
    <row r="2393" spans="15:15">
      <c r="O2393"/>
    </row>
    <row r="2394" spans="15:15">
      <c r="O2394"/>
    </row>
    <row r="2395" spans="15:15">
      <c r="O2395"/>
    </row>
    <row r="2396" spans="15:15">
      <c r="O2396"/>
    </row>
    <row r="2397" spans="15:15">
      <c r="O2397"/>
    </row>
    <row r="2398" spans="15:15">
      <c r="O2398"/>
    </row>
    <row r="2399" spans="15:15">
      <c r="O2399"/>
    </row>
    <row r="2400" spans="15:15">
      <c r="O2400"/>
    </row>
    <row r="2401" spans="15:15">
      <c r="O2401"/>
    </row>
    <row r="2402" spans="15:15">
      <c r="O2402"/>
    </row>
    <row r="2403" spans="15:15">
      <c r="O2403"/>
    </row>
    <row r="2404" spans="15:15">
      <c r="O2404"/>
    </row>
    <row r="2405" spans="15:15">
      <c r="O2405"/>
    </row>
    <row r="2406" spans="15:15">
      <c r="O2406"/>
    </row>
    <row r="2407" spans="15:15">
      <c r="O2407"/>
    </row>
    <row r="2408" spans="15:15">
      <c r="O2408"/>
    </row>
    <row r="2409" spans="15:15">
      <c r="O2409"/>
    </row>
    <row r="2410" spans="15:15">
      <c r="O2410"/>
    </row>
    <row r="2411" spans="15:15">
      <c r="O2411"/>
    </row>
    <row r="2412" spans="15:15">
      <c r="O2412"/>
    </row>
    <row r="2413" spans="15:15">
      <c r="O2413"/>
    </row>
    <row r="2414" spans="15:15">
      <c r="O2414"/>
    </row>
    <row r="2415" spans="15:15">
      <c r="O2415"/>
    </row>
    <row r="2416" spans="15:15">
      <c r="O2416"/>
    </row>
    <row r="2417" spans="15:15">
      <c r="O2417"/>
    </row>
    <row r="2418" spans="15:15">
      <c r="O2418"/>
    </row>
    <row r="2419" spans="15:15">
      <c r="O2419"/>
    </row>
    <row r="2420" spans="15:15">
      <c r="O2420"/>
    </row>
    <row r="2421" spans="15:15">
      <c r="O2421"/>
    </row>
    <row r="2422" spans="15:15">
      <c r="O2422"/>
    </row>
    <row r="2423" spans="15:15">
      <c r="O2423"/>
    </row>
    <row r="2424" spans="15:15">
      <c r="O2424"/>
    </row>
    <row r="2425" spans="15:15">
      <c r="O2425"/>
    </row>
    <row r="2426" spans="15:15">
      <c r="O2426"/>
    </row>
    <row r="2427" spans="15:15">
      <c r="O2427"/>
    </row>
    <row r="2428" spans="15:15">
      <c r="O2428"/>
    </row>
    <row r="2429" spans="15:15">
      <c r="O2429"/>
    </row>
    <row r="2430" spans="15:15">
      <c r="O2430"/>
    </row>
    <row r="2431" spans="15:15">
      <c r="O2431"/>
    </row>
    <row r="2432" spans="15:15">
      <c r="O2432"/>
    </row>
    <row r="2433" spans="15:15">
      <c r="O2433"/>
    </row>
    <row r="2434" spans="15:15">
      <c r="O2434"/>
    </row>
    <row r="2435" spans="15:15">
      <c r="O2435"/>
    </row>
    <row r="2436" spans="15:15">
      <c r="O2436"/>
    </row>
    <row r="2437" spans="15:15">
      <c r="O2437"/>
    </row>
    <row r="2438" spans="15:15">
      <c r="O2438"/>
    </row>
    <row r="2439" spans="15:15">
      <c r="O2439"/>
    </row>
    <row r="2440" spans="15:15">
      <c r="O2440"/>
    </row>
    <row r="2441" spans="15:15">
      <c r="O2441"/>
    </row>
    <row r="2442" spans="15:15">
      <c r="O2442"/>
    </row>
    <row r="2443" spans="15:15">
      <c r="O2443"/>
    </row>
    <row r="2444" spans="15:15">
      <c r="O2444"/>
    </row>
    <row r="2445" spans="15:15">
      <c r="O2445"/>
    </row>
    <row r="2446" spans="15:15">
      <c r="O2446"/>
    </row>
    <row r="2447" spans="15:15">
      <c r="O2447"/>
    </row>
    <row r="2448" spans="15:15">
      <c r="O2448"/>
    </row>
    <row r="2449" spans="15:15">
      <c r="O2449"/>
    </row>
    <row r="2450" spans="15:15">
      <c r="O2450"/>
    </row>
    <row r="2451" spans="15:15">
      <c r="O2451"/>
    </row>
    <row r="2452" spans="15:15">
      <c r="O2452"/>
    </row>
    <row r="2453" spans="15:15">
      <c r="O2453"/>
    </row>
    <row r="2454" spans="15:15">
      <c r="O2454"/>
    </row>
    <row r="2455" spans="15:15">
      <c r="O2455"/>
    </row>
    <row r="2456" spans="15:15">
      <c r="O2456"/>
    </row>
    <row r="2457" spans="15:15">
      <c r="O2457"/>
    </row>
    <row r="2458" spans="15:15">
      <c r="O2458"/>
    </row>
    <row r="2459" spans="15:15">
      <c r="O2459"/>
    </row>
    <row r="2460" spans="15:15">
      <c r="O2460"/>
    </row>
    <row r="2461" spans="15:15">
      <c r="O2461"/>
    </row>
    <row r="2462" spans="15:15">
      <c r="O2462"/>
    </row>
    <row r="2463" spans="15:15">
      <c r="O2463"/>
    </row>
    <row r="2464" spans="15:15">
      <c r="O2464"/>
    </row>
    <row r="2465" spans="15:15">
      <c r="O2465"/>
    </row>
    <row r="2466" spans="15:15">
      <c r="O2466"/>
    </row>
    <row r="2467" spans="15:15">
      <c r="O2467"/>
    </row>
    <row r="2468" spans="15:15">
      <c r="O2468"/>
    </row>
    <row r="2469" spans="15:15">
      <c r="O2469"/>
    </row>
    <row r="2470" spans="15:15">
      <c r="O2470"/>
    </row>
    <row r="2471" spans="15:15">
      <c r="O2471"/>
    </row>
    <row r="2472" spans="15:15">
      <c r="O2472"/>
    </row>
    <row r="2473" spans="15:15">
      <c r="O2473"/>
    </row>
    <row r="2474" spans="15:15">
      <c r="O2474"/>
    </row>
    <row r="2475" spans="15:15">
      <c r="O2475"/>
    </row>
    <row r="2476" spans="15:15">
      <c r="O2476"/>
    </row>
    <row r="2477" spans="15:15">
      <c r="O2477"/>
    </row>
    <row r="2478" spans="15:15">
      <c r="O2478"/>
    </row>
    <row r="2479" spans="15:15">
      <c r="O2479"/>
    </row>
    <row r="2480" spans="15:15">
      <c r="O2480"/>
    </row>
    <row r="2481" spans="15:15">
      <c r="O2481"/>
    </row>
    <row r="2482" spans="15:15">
      <c r="O2482"/>
    </row>
    <row r="2483" spans="15:15">
      <c r="O2483"/>
    </row>
    <row r="2484" spans="15:15">
      <c r="O2484"/>
    </row>
    <row r="2485" spans="15:15">
      <c r="O2485"/>
    </row>
    <row r="2486" spans="15:15">
      <c r="O2486"/>
    </row>
    <row r="2487" spans="15:15">
      <c r="O2487"/>
    </row>
    <row r="2488" spans="15:15">
      <c r="O2488"/>
    </row>
    <row r="2489" spans="15:15">
      <c r="O2489"/>
    </row>
    <row r="2490" spans="15:15">
      <c r="O2490"/>
    </row>
    <row r="2491" spans="15:15">
      <c r="O2491"/>
    </row>
    <row r="2492" spans="15:15">
      <c r="O2492"/>
    </row>
    <row r="2493" spans="15:15">
      <c r="O2493"/>
    </row>
    <row r="2494" spans="15:15">
      <c r="O2494"/>
    </row>
    <row r="2495" spans="15:15">
      <c r="O2495"/>
    </row>
    <row r="2496" spans="15:15">
      <c r="O2496"/>
    </row>
    <row r="2497" spans="15:15">
      <c r="O2497"/>
    </row>
    <row r="2498" spans="15:15">
      <c r="O2498"/>
    </row>
    <row r="2499" spans="15:15">
      <c r="O2499"/>
    </row>
    <row r="2500" spans="15:15">
      <c r="O2500"/>
    </row>
    <row r="2501" spans="15:15">
      <c r="O2501"/>
    </row>
    <row r="2502" spans="15:15">
      <c r="O2502"/>
    </row>
    <row r="2503" spans="15:15">
      <c r="O2503"/>
    </row>
    <row r="2504" spans="15:15">
      <c r="O2504"/>
    </row>
    <row r="2505" spans="15:15">
      <c r="O2505"/>
    </row>
    <row r="2506" spans="15:15">
      <c r="O2506"/>
    </row>
    <row r="2507" spans="15:15">
      <c r="O2507"/>
    </row>
    <row r="2508" spans="15:15">
      <c r="O2508"/>
    </row>
    <row r="2509" spans="15:15">
      <c r="O2509"/>
    </row>
    <row r="2510" spans="15:15">
      <c r="O2510"/>
    </row>
    <row r="2511" spans="15:15">
      <c r="O2511"/>
    </row>
    <row r="2512" spans="15:15">
      <c r="O2512"/>
    </row>
    <row r="2513" spans="15:15">
      <c r="O2513"/>
    </row>
    <row r="2514" spans="15:15">
      <c r="O2514"/>
    </row>
    <row r="2515" spans="15:15">
      <c r="O2515"/>
    </row>
    <row r="2516" spans="15:15">
      <c r="O2516"/>
    </row>
    <row r="2517" spans="15:15">
      <c r="O2517"/>
    </row>
    <row r="2518" spans="15:15">
      <c r="O2518"/>
    </row>
    <row r="2519" spans="15:15">
      <c r="O2519"/>
    </row>
    <row r="2520" spans="15:15">
      <c r="O2520"/>
    </row>
    <row r="2521" spans="15:15">
      <c r="O2521"/>
    </row>
    <row r="2522" spans="15:15">
      <c r="O2522"/>
    </row>
    <row r="2523" spans="15:15">
      <c r="O2523"/>
    </row>
    <row r="2524" spans="15:15">
      <c r="O2524"/>
    </row>
    <row r="2525" spans="15:15">
      <c r="O2525"/>
    </row>
    <row r="2526" spans="15:15">
      <c r="O2526"/>
    </row>
    <row r="2527" spans="15:15">
      <c r="O2527"/>
    </row>
    <row r="2528" spans="15:15">
      <c r="O2528"/>
    </row>
    <row r="2529" spans="15:15">
      <c r="O2529"/>
    </row>
    <row r="2530" spans="15:15">
      <c r="O2530"/>
    </row>
    <row r="2531" spans="15:15">
      <c r="O2531"/>
    </row>
    <row r="2532" spans="15:15">
      <c r="O2532"/>
    </row>
    <row r="2533" spans="15:15">
      <c r="O2533"/>
    </row>
    <row r="2534" spans="15:15">
      <c r="O2534"/>
    </row>
    <row r="2535" spans="15:15">
      <c r="O2535"/>
    </row>
    <row r="2536" spans="15:15">
      <c r="O2536"/>
    </row>
    <row r="2537" spans="15:15">
      <c r="O2537"/>
    </row>
    <row r="2538" spans="15:15">
      <c r="O2538"/>
    </row>
    <row r="2539" spans="15:15">
      <c r="O2539"/>
    </row>
    <row r="2540" spans="15:15">
      <c r="O2540"/>
    </row>
    <row r="2541" spans="15:15">
      <c r="O2541"/>
    </row>
    <row r="2542" spans="15:15">
      <c r="O2542"/>
    </row>
    <row r="2543" spans="15:15">
      <c r="O2543"/>
    </row>
    <row r="2544" spans="15:15">
      <c r="O2544"/>
    </row>
    <row r="2545" spans="15:15">
      <c r="O2545"/>
    </row>
    <row r="2546" spans="15:15">
      <c r="O2546"/>
    </row>
    <row r="2547" spans="15:15">
      <c r="O2547"/>
    </row>
    <row r="2548" spans="15:15">
      <c r="O2548"/>
    </row>
    <row r="2549" spans="15:15">
      <c r="O2549"/>
    </row>
    <row r="2550" spans="15:15">
      <c r="O2550"/>
    </row>
    <row r="2551" spans="15:15">
      <c r="O2551"/>
    </row>
    <row r="2552" spans="15:15">
      <c r="O2552"/>
    </row>
    <row r="2553" spans="15:15">
      <c r="O2553"/>
    </row>
    <row r="2554" spans="15:15">
      <c r="O2554"/>
    </row>
    <row r="2555" spans="15:15">
      <c r="O2555"/>
    </row>
    <row r="2556" spans="15:15">
      <c r="O2556"/>
    </row>
    <row r="2557" spans="15:15">
      <c r="O2557"/>
    </row>
    <row r="2558" spans="15:15">
      <c r="O2558"/>
    </row>
    <row r="2559" spans="15:15">
      <c r="O2559"/>
    </row>
    <row r="2560" spans="15:15">
      <c r="O2560"/>
    </row>
    <row r="2561" spans="15:15">
      <c r="O2561"/>
    </row>
    <row r="2562" spans="15:15">
      <c r="O2562"/>
    </row>
    <row r="2563" spans="15:15">
      <c r="O2563"/>
    </row>
    <row r="2564" spans="15:15">
      <c r="O2564"/>
    </row>
    <row r="2565" spans="15:15">
      <c r="O2565"/>
    </row>
    <row r="2566" spans="15:15">
      <c r="O2566"/>
    </row>
    <row r="2567" spans="15:15">
      <c r="O2567"/>
    </row>
    <row r="2568" spans="15:15">
      <c r="O2568"/>
    </row>
    <row r="2569" spans="15:15">
      <c r="O2569"/>
    </row>
    <row r="2570" spans="15:15">
      <c r="O2570"/>
    </row>
    <row r="2571" spans="15:15">
      <c r="O2571"/>
    </row>
    <row r="2572" spans="15:15">
      <c r="O2572"/>
    </row>
    <row r="2573" spans="15:15">
      <c r="O2573"/>
    </row>
    <row r="2574" spans="15:15">
      <c r="O2574"/>
    </row>
    <row r="2575" spans="15:15">
      <c r="O2575"/>
    </row>
    <row r="2576" spans="15:15">
      <c r="O2576"/>
    </row>
    <row r="2577" spans="15:15">
      <c r="O2577"/>
    </row>
    <row r="2578" spans="15:15">
      <c r="O2578"/>
    </row>
    <row r="2579" spans="15:15">
      <c r="O2579"/>
    </row>
    <row r="2580" spans="15:15">
      <c r="O2580"/>
    </row>
    <row r="2581" spans="15:15">
      <c r="O2581"/>
    </row>
    <row r="2582" spans="15:15">
      <c r="O2582"/>
    </row>
    <row r="2583" spans="15:15">
      <c r="O2583"/>
    </row>
    <row r="2584" spans="15:15">
      <c r="O2584"/>
    </row>
    <row r="2585" spans="15:15">
      <c r="O2585"/>
    </row>
    <row r="2586" spans="15:15">
      <c r="O2586"/>
    </row>
    <row r="2587" spans="15:15">
      <c r="O2587"/>
    </row>
    <row r="2588" spans="15:15">
      <c r="O2588"/>
    </row>
    <row r="2589" spans="15:15">
      <c r="O2589"/>
    </row>
    <row r="2590" spans="15:15">
      <c r="O2590"/>
    </row>
    <row r="2591" spans="15:15">
      <c r="O2591"/>
    </row>
    <row r="2592" spans="15:15">
      <c r="O2592"/>
    </row>
    <row r="2593" spans="15:15">
      <c r="O2593"/>
    </row>
    <row r="2594" spans="15:15">
      <c r="O2594"/>
    </row>
    <row r="2595" spans="15:15">
      <c r="O2595"/>
    </row>
    <row r="2596" spans="15:15">
      <c r="O2596"/>
    </row>
    <row r="2597" spans="15:15">
      <c r="O2597"/>
    </row>
    <row r="2598" spans="15:15">
      <c r="O2598"/>
    </row>
    <row r="2599" spans="15:15">
      <c r="O2599"/>
    </row>
    <row r="2600" spans="15:15">
      <c r="O2600"/>
    </row>
    <row r="2601" spans="15:15">
      <c r="O2601"/>
    </row>
    <row r="2602" spans="15:15">
      <c r="O2602"/>
    </row>
    <row r="2603" spans="15:15">
      <c r="O2603"/>
    </row>
    <row r="2604" spans="15:15">
      <c r="O2604"/>
    </row>
    <row r="2605" spans="15:15">
      <c r="O2605"/>
    </row>
    <row r="2606" spans="15:15">
      <c r="O2606"/>
    </row>
    <row r="2607" spans="15:15">
      <c r="O2607"/>
    </row>
    <row r="2608" spans="15:15">
      <c r="O2608"/>
    </row>
    <row r="2609" spans="15:15">
      <c r="O2609"/>
    </row>
    <row r="2610" spans="15:15">
      <c r="O2610"/>
    </row>
    <row r="2611" spans="15:15">
      <c r="O2611"/>
    </row>
    <row r="2612" spans="15:15">
      <c r="O2612"/>
    </row>
    <row r="2613" spans="15:15">
      <c r="O2613"/>
    </row>
    <row r="2614" spans="15:15">
      <c r="O2614"/>
    </row>
    <row r="2615" spans="15:15">
      <c r="O2615"/>
    </row>
    <row r="2616" spans="15:15">
      <c r="O2616"/>
    </row>
    <row r="2617" spans="15:15">
      <c r="O2617"/>
    </row>
    <row r="2618" spans="15:15">
      <c r="O2618"/>
    </row>
    <row r="2619" spans="15:15">
      <c r="O2619"/>
    </row>
    <row r="2620" spans="15:15">
      <c r="O2620"/>
    </row>
    <row r="2621" spans="15:15">
      <c r="O2621"/>
    </row>
    <row r="2622" spans="15:15">
      <c r="O2622"/>
    </row>
    <row r="2623" spans="15:15">
      <c r="O2623"/>
    </row>
    <row r="2624" spans="15:15">
      <c r="O2624"/>
    </row>
    <row r="2625" spans="15:15">
      <c r="O2625"/>
    </row>
    <row r="2626" spans="15:15">
      <c r="O2626"/>
    </row>
    <row r="2627" spans="15:15">
      <c r="O2627"/>
    </row>
    <row r="2628" spans="15:15">
      <c r="O2628"/>
    </row>
    <row r="2629" spans="15:15">
      <c r="O2629"/>
    </row>
    <row r="2630" spans="15:15">
      <c r="O2630"/>
    </row>
    <row r="2631" spans="15:15">
      <c r="O2631"/>
    </row>
    <row r="2632" spans="15:15">
      <c r="O2632"/>
    </row>
    <row r="2633" spans="15:15">
      <c r="O2633"/>
    </row>
    <row r="2634" spans="15:15">
      <c r="O2634"/>
    </row>
    <row r="2635" spans="15:15">
      <c r="O2635"/>
    </row>
    <row r="2636" spans="15:15">
      <c r="O2636"/>
    </row>
    <row r="2637" spans="15:15">
      <c r="O2637"/>
    </row>
    <row r="2638" spans="15:15">
      <c r="O2638"/>
    </row>
    <row r="2639" spans="15:15">
      <c r="O2639"/>
    </row>
    <row r="2640" spans="15:15">
      <c r="O2640"/>
    </row>
    <row r="2641" spans="15:15">
      <c r="O2641"/>
    </row>
    <row r="2642" spans="15:15">
      <c r="O2642"/>
    </row>
    <row r="2643" spans="15:15">
      <c r="O2643"/>
    </row>
    <row r="2644" spans="15:15">
      <c r="O2644"/>
    </row>
    <row r="2645" spans="15:15">
      <c r="O2645"/>
    </row>
    <row r="2646" spans="15:15">
      <c r="O2646"/>
    </row>
    <row r="2647" spans="15:15">
      <c r="O2647"/>
    </row>
    <row r="2648" spans="15:15">
      <c r="O2648"/>
    </row>
    <row r="2649" spans="15:15">
      <c r="O2649"/>
    </row>
    <row r="2650" spans="15:15">
      <c r="O2650"/>
    </row>
    <row r="2651" spans="15:15">
      <c r="O2651"/>
    </row>
    <row r="2652" spans="15:15">
      <c r="O2652"/>
    </row>
    <row r="2653" spans="15:15">
      <c r="O2653"/>
    </row>
    <row r="2654" spans="15:15">
      <c r="O2654"/>
    </row>
    <row r="2655" spans="15:15">
      <c r="O2655"/>
    </row>
    <row r="2656" spans="15:15">
      <c r="O2656"/>
    </row>
    <row r="2657" spans="15:15">
      <c r="O2657"/>
    </row>
    <row r="2658" spans="15:15">
      <c r="O2658"/>
    </row>
    <row r="2659" spans="15:15">
      <c r="O2659"/>
    </row>
    <row r="2660" spans="15:15">
      <c r="O2660"/>
    </row>
    <row r="2661" spans="15:15">
      <c r="O2661"/>
    </row>
    <row r="2662" spans="15:15">
      <c r="O2662"/>
    </row>
    <row r="2663" spans="15:15">
      <c r="O2663"/>
    </row>
    <row r="2664" spans="15:15">
      <c r="O2664"/>
    </row>
    <row r="2665" spans="15:15">
      <c r="O2665"/>
    </row>
    <row r="2666" spans="15:15">
      <c r="O2666"/>
    </row>
    <row r="2667" spans="15:15">
      <c r="O2667"/>
    </row>
    <row r="2668" spans="15:15">
      <c r="O2668"/>
    </row>
    <row r="2669" spans="15:15">
      <c r="O2669"/>
    </row>
    <row r="2670" spans="15:15">
      <c r="O2670"/>
    </row>
    <row r="2671" spans="15:15">
      <c r="O2671"/>
    </row>
    <row r="2672" spans="15:15">
      <c r="O2672"/>
    </row>
    <row r="2673" spans="15:15">
      <c r="O2673"/>
    </row>
    <row r="2674" spans="15:15">
      <c r="O2674"/>
    </row>
    <row r="2675" spans="15:15">
      <c r="O2675"/>
    </row>
    <row r="2676" spans="15:15">
      <c r="O2676"/>
    </row>
    <row r="2677" spans="15:15">
      <c r="O2677"/>
    </row>
    <row r="2678" spans="15:15">
      <c r="O2678"/>
    </row>
    <row r="2679" spans="15:15">
      <c r="O2679"/>
    </row>
    <row r="2680" spans="15:15">
      <c r="O2680"/>
    </row>
    <row r="2681" spans="15:15">
      <c r="O2681"/>
    </row>
    <row r="2682" spans="15:15">
      <c r="O2682"/>
    </row>
    <row r="2683" spans="15:15">
      <c r="O2683"/>
    </row>
    <row r="2684" spans="15:15">
      <c r="O2684"/>
    </row>
    <row r="2685" spans="15:15">
      <c r="O2685"/>
    </row>
    <row r="2686" spans="15:15">
      <c r="O2686"/>
    </row>
    <row r="2687" spans="15:15">
      <c r="O2687"/>
    </row>
    <row r="2688" spans="15:15">
      <c r="O2688"/>
    </row>
    <row r="2689" spans="15:15">
      <c r="O2689"/>
    </row>
    <row r="2690" spans="15:15">
      <c r="O2690"/>
    </row>
    <row r="2691" spans="15:15">
      <c r="O2691"/>
    </row>
    <row r="2692" spans="15:15">
      <c r="O2692"/>
    </row>
    <row r="2693" spans="15:15">
      <c r="O2693"/>
    </row>
    <row r="2694" spans="15:15">
      <c r="O2694"/>
    </row>
    <row r="2695" spans="15:15">
      <c r="O2695"/>
    </row>
    <row r="2696" spans="15:15">
      <c r="O2696"/>
    </row>
    <row r="2697" spans="15:15">
      <c r="O2697"/>
    </row>
    <row r="2698" spans="15:15">
      <c r="O2698"/>
    </row>
    <row r="2699" spans="15:15">
      <c r="O2699"/>
    </row>
    <row r="2700" spans="15:15">
      <c r="O2700"/>
    </row>
    <row r="2701" spans="15:15">
      <c r="O2701"/>
    </row>
    <row r="2702" spans="15:15">
      <c r="O2702"/>
    </row>
    <row r="2703" spans="15:15">
      <c r="O2703"/>
    </row>
    <row r="2704" spans="15:15">
      <c r="O2704"/>
    </row>
    <row r="2705" spans="15:15">
      <c r="O2705"/>
    </row>
    <row r="2706" spans="15:15">
      <c r="O2706"/>
    </row>
    <row r="2707" spans="15:15">
      <c r="O2707"/>
    </row>
    <row r="2708" spans="15:15">
      <c r="O2708"/>
    </row>
    <row r="2709" spans="15:15">
      <c r="O2709"/>
    </row>
    <row r="2710" spans="15:15">
      <c r="O2710"/>
    </row>
    <row r="2711" spans="15:15">
      <c r="O2711"/>
    </row>
    <row r="2712" spans="15:15">
      <c r="O2712"/>
    </row>
    <row r="2713" spans="15:15">
      <c r="O2713"/>
    </row>
    <row r="2714" spans="15:15">
      <c r="O2714"/>
    </row>
    <row r="2715" spans="15:15">
      <c r="O2715"/>
    </row>
    <row r="2716" spans="15:15">
      <c r="O2716"/>
    </row>
    <row r="2717" spans="15:15">
      <c r="O2717"/>
    </row>
    <row r="2718" spans="15:15">
      <c r="O2718"/>
    </row>
    <row r="2719" spans="15:15">
      <c r="O2719"/>
    </row>
    <row r="2720" spans="15:15">
      <c r="O2720"/>
    </row>
    <row r="2721" spans="15:15">
      <c r="O2721"/>
    </row>
    <row r="2722" spans="15:15">
      <c r="O2722"/>
    </row>
    <row r="2723" spans="15:15">
      <c r="O2723"/>
    </row>
    <row r="2724" spans="15:15">
      <c r="O2724"/>
    </row>
    <row r="2725" spans="15:15">
      <c r="O2725"/>
    </row>
    <row r="2726" spans="15:15">
      <c r="O2726"/>
    </row>
    <row r="2727" spans="15:15">
      <c r="O2727"/>
    </row>
    <row r="2728" spans="15:15">
      <c r="O2728"/>
    </row>
    <row r="2729" spans="15:15">
      <c r="O2729"/>
    </row>
    <row r="2730" spans="15:15">
      <c r="O2730"/>
    </row>
    <row r="2731" spans="15:15">
      <c r="O2731"/>
    </row>
    <row r="2732" spans="15:15">
      <c r="O2732"/>
    </row>
    <row r="2733" spans="15:15">
      <c r="O2733"/>
    </row>
    <row r="2734" spans="15:15">
      <c r="O2734"/>
    </row>
    <row r="2735" spans="15:15">
      <c r="O2735"/>
    </row>
    <row r="2736" spans="15:15">
      <c r="O2736"/>
    </row>
    <row r="2737" spans="15:15">
      <c r="O2737"/>
    </row>
    <row r="2738" spans="15:15">
      <c r="O2738"/>
    </row>
    <row r="2739" spans="15:15">
      <c r="O2739"/>
    </row>
    <row r="2740" spans="15:15">
      <c r="O2740"/>
    </row>
    <row r="2741" spans="15:15">
      <c r="O2741"/>
    </row>
    <row r="2742" spans="15:15">
      <c r="O2742"/>
    </row>
    <row r="2743" spans="15:15">
      <c r="O2743"/>
    </row>
    <row r="2744" spans="15:15">
      <c r="O2744"/>
    </row>
    <row r="2745" spans="15:15">
      <c r="O2745"/>
    </row>
    <row r="2746" spans="15:15">
      <c r="O2746"/>
    </row>
    <row r="2747" spans="15:15">
      <c r="O2747"/>
    </row>
    <row r="2748" spans="15:15">
      <c r="O2748"/>
    </row>
    <row r="2749" spans="15:15">
      <c r="O2749"/>
    </row>
    <row r="2750" spans="15:15">
      <c r="O2750"/>
    </row>
    <row r="2751" spans="15:15">
      <c r="O2751"/>
    </row>
    <row r="2752" spans="15:15">
      <c r="O2752"/>
    </row>
    <row r="2753" spans="15:15">
      <c r="O2753"/>
    </row>
    <row r="2754" spans="15:15">
      <c r="O2754"/>
    </row>
    <row r="2755" spans="15:15">
      <c r="O2755"/>
    </row>
    <row r="2756" spans="15:15">
      <c r="O2756"/>
    </row>
    <row r="2757" spans="15:15">
      <c r="O2757"/>
    </row>
    <row r="2758" spans="15:15">
      <c r="O2758"/>
    </row>
    <row r="2759" spans="15:15">
      <c r="O2759"/>
    </row>
    <row r="2760" spans="15:15">
      <c r="O2760"/>
    </row>
    <row r="2761" spans="15:15">
      <c r="O2761"/>
    </row>
    <row r="2762" spans="15:15">
      <c r="O2762"/>
    </row>
    <row r="2763" spans="15:15">
      <c r="O2763"/>
    </row>
    <row r="2764" spans="15:15">
      <c r="O2764"/>
    </row>
    <row r="2765" spans="15:15">
      <c r="O2765"/>
    </row>
    <row r="2766" spans="15:15">
      <c r="O2766"/>
    </row>
    <row r="2767" spans="15:15">
      <c r="O2767"/>
    </row>
    <row r="2768" spans="15:15">
      <c r="O2768"/>
    </row>
    <row r="2769" spans="15:15">
      <c r="O2769"/>
    </row>
    <row r="2770" spans="15:15">
      <c r="O2770"/>
    </row>
    <row r="2771" spans="15:15">
      <c r="O2771"/>
    </row>
    <row r="2772" spans="15:15">
      <c r="O2772"/>
    </row>
    <row r="2773" spans="15:15">
      <c r="O2773"/>
    </row>
    <row r="2774" spans="15:15">
      <c r="O2774"/>
    </row>
    <row r="2775" spans="15:15">
      <c r="O2775"/>
    </row>
    <row r="2776" spans="15:15">
      <c r="O2776"/>
    </row>
    <row r="2777" spans="15:15">
      <c r="O2777"/>
    </row>
    <row r="2778" spans="15:15">
      <c r="O2778"/>
    </row>
    <row r="2779" spans="15:15">
      <c r="O2779"/>
    </row>
    <row r="2780" spans="15:15">
      <c r="O2780"/>
    </row>
    <row r="2781" spans="15:15">
      <c r="O2781"/>
    </row>
    <row r="2782" spans="15:15">
      <c r="O2782"/>
    </row>
    <row r="2783" spans="15:15">
      <c r="O2783"/>
    </row>
    <row r="2784" spans="15:15">
      <c r="O2784"/>
    </row>
    <row r="2785" spans="15:15">
      <c r="O2785"/>
    </row>
    <row r="2786" spans="15:15">
      <c r="O2786"/>
    </row>
    <row r="2787" spans="15:15">
      <c r="O2787"/>
    </row>
    <row r="2788" spans="15:15">
      <c r="O2788"/>
    </row>
    <row r="2789" spans="15:15">
      <c r="O2789"/>
    </row>
    <row r="2790" spans="15:15">
      <c r="O2790"/>
    </row>
    <row r="2791" spans="15:15">
      <c r="O2791"/>
    </row>
    <row r="2792" spans="15:15">
      <c r="O2792"/>
    </row>
    <row r="2793" spans="15:15">
      <c r="O2793"/>
    </row>
    <row r="2794" spans="15:15">
      <c r="O2794"/>
    </row>
    <row r="2795" spans="15:15">
      <c r="O2795"/>
    </row>
    <row r="2796" spans="15:15">
      <c r="O2796"/>
    </row>
    <row r="2797" spans="15:15">
      <c r="O2797"/>
    </row>
    <row r="2798" spans="15:15">
      <c r="O2798"/>
    </row>
    <row r="2799" spans="15:15">
      <c r="O2799"/>
    </row>
    <row r="2800" spans="15:15">
      <c r="O2800"/>
    </row>
    <row r="2801" spans="15:15">
      <c r="O2801"/>
    </row>
    <row r="2802" spans="15:15">
      <c r="O2802"/>
    </row>
    <row r="2803" spans="15:15">
      <c r="O2803"/>
    </row>
    <row r="2804" spans="15:15">
      <c r="O2804"/>
    </row>
    <row r="2805" spans="15:15">
      <c r="O2805"/>
    </row>
    <row r="2806" spans="15:15">
      <c r="O2806"/>
    </row>
    <row r="2807" spans="15:15">
      <c r="O2807"/>
    </row>
    <row r="2808" spans="15:15">
      <c r="O2808"/>
    </row>
    <row r="2809" spans="15:15">
      <c r="O2809"/>
    </row>
    <row r="2810" spans="15:15">
      <c r="O2810"/>
    </row>
    <row r="2811" spans="15:15">
      <c r="O2811"/>
    </row>
    <row r="2812" spans="15:15">
      <c r="O2812"/>
    </row>
    <row r="2813" spans="15:15">
      <c r="O2813"/>
    </row>
    <row r="2814" spans="15:15">
      <c r="O2814"/>
    </row>
    <row r="2815" spans="15:15">
      <c r="O2815"/>
    </row>
    <row r="2816" spans="15:15">
      <c r="O2816"/>
    </row>
    <row r="2817" spans="15:15">
      <c r="O2817"/>
    </row>
    <row r="2818" spans="15:15">
      <c r="O2818"/>
    </row>
    <row r="2819" spans="15:15">
      <c r="O2819"/>
    </row>
    <row r="2820" spans="15:15">
      <c r="O2820"/>
    </row>
    <row r="2821" spans="15:15">
      <c r="O2821"/>
    </row>
    <row r="2822" spans="15:15">
      <c r="O2822"/>
    </row>
    <row r="2823" spans="15:15">
      <c r="O2823"/>
    </row>
    <row r="2824" spans="15:15">
      <c r="O2824"/>
    </row>
    <row r="2825" spans="15:15">
      <c r="O2825"/>
    </row>
    <row r="2826" spans="15:15">
      <c r="O2826"/>
    </row>
    <row r="2827" spans="15:15">
      <c r="O2827"/>
    </row>
    <row r="2828" spans="15:15">
      <c r="O2828"/>
    </row>
    <row r="2829" spans="15:15">
      <c r="O2829"/>
    </row>
    <row r="2830" spans="15:15">
      <c r="O2830"/>
    </row>
    <row r="2831" spans="15:15">
      <c r="O2831"/>
    </row>
    <row r="2832" spans="15:15">
      <c r="O2832"/>
    </row>
    <row r="2833" spans="15:15">
      <c r="O2833"/>
    </row>
    <row r="2834" spans="15:15">
      <c r="O2834"/>
    </row>
    <row r="2835" spans="15:15">
      <c r="O2835"/>
    </row>
    <row r="2836" spans="15:15">
      <c r="O2836"/>
    </row>
    <row r="2837" spans="15:15">
      <c r="O2837"/>
    </row>
    <row r="2838" spans="15:15">
      <c r="O2838"/>
    </row>
    <row r="2839" spans="15:15">
      <c r="O2839"/>
    </row>
    <row r="2840" spans="15:15">
      <c r="O2840"/>
    </row>
    <row r="2841" spans="15:15">
      <c r="O2841"/>
    </row>
    <row r="2842" spans="15:15">
      <c r="O2842"/>
    </row>
    <row r="2843" spans="15:15">
      <c r="O2843"/>
    </row>
    <row r="2844" spans="15:15">
      <c r="O2844"/>
    </row>
    <row r="2845" spans="15:15">
      <c r="O2845"/>
    </row>
    <row r="2846" spans="15:15">
      <c r="O2846"/>
    </row>
    <row r="2847" spans="15:15">
      <c r="O2847"/>
    </row>
    <row r="2848" spans="15:15">
      <c r="O2848"/>
    </row>
    <row r="2849" spans="15:15">
      <c r="O2849"/>
    </row>
    <row r="2850" spans="15:15">
      <c r="O2850"/>
    </row>
    <row r="2851" spans="15:15">
      <c r="O2851"/>
    </row>
    <row r="2852" spans="15:15">
      <c r="O2852"/>
    </row>
    <row r="2853" spans="15:15">
      <c r="O2853"/>
    </row>
    <row r="2854" spans="15:15">
      <c r="O2854"/>
    </row>
    <row r="2855" spans="15:15">
      <c r="O2855"/>
    </row>
    <row r="2856" spans="15:15">
      <c r="O2856"/>
    </row>
    <row r="2857" spans="15:15">
      <c r="O2857"/>
    </row>
    <row r="2858" spans="15:15">
      <c r="O2858"/>
    </row>
    <row r="2859" spans="15:15">
      <c r="O2859"/>
    </row>
    <row r="2860" spans="15:15">
      <c r="O2860"/>
    </row>
    <row r="2861" spans="15:15">
      <c r="O2861"/>
    </row>
    <row r="2862" spans="15:15">
      <c r="O2862"/>
    </row>
    <row r="2863" spans="15:15">
      <c r="O2863"/>
    </row>
    <row r="2864" spans="15:15">
      <c r="O2864"/>
    </row>
    <row r="2865" spans="15:15">
      <c r="O2865"/>
    </row>
    <row r="2866" spans="15:15">
      <c r="O2866"/>
    </row>
    <row r="2867" spans="15:15">
      <c r="O2867"/>
    </row>
    <row r="2868" spans="15:15">
      <c r="O2868"/>
    </row>
    <row r="2869" spans="15:15">
      <c r="O2869"/>
    </row>
    <row r="2870" spans="15:15">
      <c r="O2870"/>
    </row>
    <row r="2871" spans="15:15">
      <c r="O2871"/>
    </row>
    <row r="2872" spans="15:15">
      <c r="O2872"/>
    </row>
    <row r="2873" spans="15:15">
      <c r="O2873"/>
    </row>
    <row r="2874" spans="15:15">
      <c r="O2874"/>
    </row>
    <row r="2875" spans="15:15">
      <c r="O2875"/>
    </row>
    <row r="2876" spans="15:15">
      <c r="O2876"/>
    </row>
    <row r="2877" spans="15:15">
      <c r="O2877"/>
    </row>
    <row r="2878" spans="15:15">
      <c r="O2878"/>
    </row>
    <row r="2879" spans="15:15">
      <c r="O2879"/>
    </row>
    <row r="2880" spans="15:15">
      <c r="O2880"/>
    </row>
    <row r="2881" spans="15:15">
      <c r="O2881"/>
    </row>
    <row r="2882" spans="15:15">
      <c r="O2882"/>
    </row>
    <row r="2883" spans="15:15">
      <c r="O2883"/>
    </row>
    <row r="2884" spans="15:15">
      <c r="O2884"/>
    </row>
    <row r="2885" spans="15:15">
      <c r="O2885"/>
    </row>
    <row r="2886" spans="15:15">
      <c r="O2886"/>
    </row>
    <row r="2887" spans="15:15">
      <c r="O2887"/>
    </row>
    <row r="2888" spans="15:15">
      <c r="O2888"/>
    </row>
    <row r="2889" spans="15:15">
      <c r="O2889"/>
    </row>
    <row r="2890" spans="15:15">
      <c r="O2890"/>
    </row>
    <row r="2891" spans="15:15">
      <c r="O2891"/>
    </row>
    <row r="2892" spans="15:15">
      <c r="O2892"/>
    </row>
    <row r="2893" spans="15:15">
      <c r="O2893"/>
    </row>
    <row r="2894" spans="15:15">
      <c r="O2894"/>
    </row>
    <row r="2895" spans="15:15">
      <c r="O2895"/>
    </row>
    <row r="2896" spans="15:15">
      <c r="O2896"/>
    </row>
    <row r="2897" spans="15:15">
      <c r="O2897"/>
    </row>
    <row r="2898" spans="15:15">
      <c r="O2898"/>
    </row>
    <row r="2899" spans="15:15">
      <c r="O2899"/>
    </row>
    <row r="2900" spans="15:15">
      <c r="O2900"/>
    </row>
    <row r="2901" spans="15:15">
      <c r="O2901"/>
    </row>
    <row r="2902" spans="15:15">
      <c r="O2902"/>
    </row>
    <row r="2903" spans="15:15">
      <c r="O2903"/>
    </row>
    <row r="2904" spans="15:15">
      <c r="O2904"/>
    </row>
    <row r="2905" spans="15:15">
      <c r="O2905"/>
    </row>
    <row r="2906" spans="15:15">
      <c r="O2906"/>
    </row>
    <row r="2907" spans="15:15">
      <c r="O2907"/>
    </row>
    <row r="2908" spans="15:15">
      <c r="O2908"/>
    </row>
    <row r="2909" spans="15:15">
      <c r="O2909"/>
    </row>
    <row r="2910" spans="15:15">
      <c r="O2910"/>
    </row>
    <row r="2911" spans="15:15">
      <c r="O2911"/>
    </row>
    <row r="2912" spans="15:15">
      <c r="O2912"/>
    </row>
    <row r="2913" spans="15:15">
      <c r="O2913"/>
    </row>
    <row r="2914" spans="15:15">
      <c r="O2914"/>
    </row>
    <row r="2915" spans="15:15">
      <c r="O2915"/>
    </row>
    <row r="2916" spans="15:15">
      <c r="O2916"/>
    </row>
    <row r="2917" spans="15:15">
      <c r="O2917"/>
    </row>
    <row r="2918" spans="15:15">
      <c r="O2918"/>
    </row>
    <row r="2919" spans="15:15">
      <c r="O2919"/>
    </row>
    <row r="2920" spans="15:15">
      <c r="O2920"/>
    </row>
    <row r="2921" spans="15:15">
      <c r="O2921"/>
    </row>
    <row r="2922" spans="15:15">
      <c r="O2922"/>
    </row>
    <row r="2923" spans="15:15">
      <c r="O2923"/>
    </row>
    <row r="2924" spans="15:15">
      <c r="O2924"/>
    </row>
    <row r="2925" spans="15:15">
      <c r="O2925"/>
    </row>
    <row r="2926" spans="15:15">
      <c r="O2926"/>
    </row>
    <row r="2927" spans="15:15">
      <c r="O2927"/>
    </row>
    <row r="2928" spans="15:15">
      <c r="O2928"/>
    </row>
    <row r="2929" spans="15:15">
      <c r="O2929"/>
    </row>
    <row r="2930" spans="15:15">
      <c r="O2930"/>
    </row>
    <row r="2931" spans="15:15">
      <c r="O2931"/>
    </row>
    <row r="2932" spans="15:15">
      <c r="O2932"/>
    </row>
    <row r="2933" spans="15:15">
      <c r="O2933"/>
    </row>
    <row r="2934" spans="15:15">
      <c r="O2934"/>
    </row>
    <row r="2935" spans="15:15">
      <c r="O2935"/>
    </row>
    <row r="2936" spans="15:15">
      <c r="O2936"/>
    </row>
    <row r="2937" spans="15:15">
      <c r="O2937"/>
    </row>
    <row r="2938" spans="15:15">
      <c r="O2938"/>
    </row>
    <row r="2939" spans="15:15">
      <c r="O2939"/>
    </row>
    <row r="2940" spans="15:15">
      <c r="O2940"/>
    </row>
    <row r="2941" spans="15:15">
      <c r="O2941"/>
    </row>
    <row r="2942" spans="15:15">
      <c r="O2942"/>
    </row>
    <row r="2943" spans="15:15">
      <c r="O2943"/>
    </row>
    <row r="2944" spans="15:15">
      <c r="O2944"/>
    </row>
    <row r="2945" spans="15:15">
      <c r="O2945"/>
    </row>
    <row r="2946" spans="15:15">
      <c r="O2946"/>
    </row>
    <row r="2947" spans="15:15">
      <c r="O2947"/>
    </row>
    <row r="2948" spans="15:15">
      <c r="O2948"/>
    </row>
    <row r="2949" spans="15:15">
      <c r="O2949"/>
    </row>
    <row r="2950" spans="15:15">
      <c r="O2950"/>
    </row>
    <row r="2951" spans="15:15">
      <c r="O2951"/>
    </row>
    <row r="2952" spans="15:15">
      <c r="O2952"/>
    </row>
    <row r="2953" spans="15:15">
      <c r="O2953"/>
    </row>
    <row r="2954" spans="15:15">
      <c r="O2954"/>
    </row>
    <row r="2955" spans="15:15">
      <c r="O2955"/>
    </row>
    <row r="2956" spans="15:15">
      <c r="O2956"/>
    </row>
    <row r="2957" spans="15:15">
      <c r="O2957"/>
    </row>
    <row r="2958" spans="15:15">
      <c r="O2958"/>
    </row>
    <row r="2959" spans="15:15">
      <c r="O2959"/>
    </row>
    <row r="2960" spans="15:15">
      <c r="O2960"/>
    </row>
    <row r="2961" spans="15:15">
      <c r="O2961"/>
    </row>
    <row r="2962" spans="15:15">
      <c r="O2962"/>
    </row>
    <row r="2963" spans="15:15">
      <c r="O2963"/>
    </row>
    <row r="2964" spans="15:15">
      <c r="O2964"/>
    </row>
    <row r="2965" spans="15:15">
      <c r="O2965"/>
    </row>
    <row r="2966" spans="15:15">
      <c r="O2966"/>
    </row>
    <row r="2967" spans="15:15">
      <c r="O2967"/>
    </row>
    <row r="2968" spans="15:15">
      <c r="O2968"/>
    </row>
    <row r="2969" spans="15:15">
      <c r="O2969"/>
    </row>
    <row r="2970" spans="15:15">
      <c r="O2970"/>
    </row>
    <row r="2971" spans="15:15">
      <c r="O2971"/>
    </row>
    <row r="2972" spans="15:15">
      <c r="O2972"/>
    </row>
    <row r="2973" spans="15:15">
      <c r="O2973"/>
    </row>
    <row r="2974" spans="15:15">
      <c r="O2974"/>
    </row>
    <row r="2975" spans="15:15">
      <c r="O2975"/>
    </row>
    <row r="2976" spans="15:15">
      <c r="O2976"/>
    </row>
    <row r="2977" spans="15:15">
      <c r="O2977"/>
    </row>
    <row r="2978" spans="15:15">
      <c r="O2978"/>
    </row>
    <row r="2979" spans="15:15">
      <c r="O2979"/>
    </row>
    <row r="2980" spans="15:15">
      <c r="O2980"/>
    </row>
    <row r="2981" spans="15:15">
      <c r="O2981"/>
    </row>
    <row r="2982" spans="15:15">
      <c r="O2982"/>
    </row>
    <row r="2983" spans="15:15">
      <c r="O2983"/>
    </row>
    <row r="2984" spans="15:15">
      <c r="O2984"/>
    </row>
    <row r="2985" spans="15:15">
      <c r="O2985"/>
    </row>
    <row r="2986" spans="15:15">
      <c r="O2986"/>
    </row>
    <row r="2987" spans="15:15">
      <c r="O2987"/>
    </row>
    <row r="2988" spans="15:15">
      <c r="O2988"/>
    </row>
    <row r="2989" spans="15:15">
      <c r="O2989"/>
    </row>
    <row r="2990" spans="15:15">
      <c r="O2990"/>
    </row>
    <row r="2991" spans="15:15">
      <c r="O2991"/>
    </row>
    <row r="2992" spans="15:15">
      <c r="O2992"/>
    </row>
    <row r="2993" spans="15:15">
      <c r="O2993"/>
    </row>
    <row r="2994" spans="15:15">
      <c r="O2994"/>
    </row>
    <row r="2995" spans="15:15">
      <c r="O2995"/>
    </row>
    <row r="2996" spans="15:15">
      <c r="O2996"/>
    </row>
    <row r="2997" spans="15:15">
      <c r="O2997"/>
    </row>
    <row r="2998" spans="15:15">
      <c r="O2998"/>
    </row>
    <row r="2999" spans="15:15">
      <c r="O2999"/>
    </row>
    <row r="3000" spans="15:15">
      <c r="O3000"/>
    </row>
    <row r="3001" spans="15:15">
      <c r="O3001"/>
    </row>
    <row r="3002" spans="15:15">
      <c r="O3002"/>
    </row>
    <row r="3003" spans="15:15">
      <c r="O3003"/>
    </row>
    <row r="3004" spans="15:15">
      <c r="O3004"/>
    </row>
    <row r="3005" spans="15:15">
      <c r="O3005"/>
    </row>
    <row r="3006" spans="15:15">
      <c r="O3006"/>
    </row>
    <row r="3007" spans="15:15">
      <c r="O3007"/>
    </row>
    <row r="3008" spans="15:15">
      <c r="O3008"/>
    </row>
    <row r="3009" spans="15:15">
      <c r="O3009"/>
    </row>
    <row r="3010" spans="15:15">
      <c r="O3010"/>
    </row>
    <row r="3011" spans="15:15">
      <c r="O3011"/>
    </row>
    <row r="3012" spans="15:15">
      <c r="O3012"/>
    </row>
    <row r="3013" spans="15:15">
      <c r="O3013"/>
    </row>
    <row r="3014" spans="15:15">
      <c r="O3014"/>
    </row>
    <row r="3015" spans="15:15">
      <c r="O3015"/>
    </row>
    <row r="3016" spans="15:15">
      <c r="O3016"/>
    </row>
    <row r="3017" spans="15:15">
      <c r="O3017"/>
    </row>
    <row r="3018" spans="15:15">
      <c r="O3018"/>
    </row>
    <row r="3019" spans="15:15">
      <c r="O3019"/>
    </row>
    <row r="3020" spans="15:15">
      <c r="O3020"/>
    </row>
    <row r="3021" spans="15:15">
      <c r="O3021"/>
    </row>
    <row r="3022" spans="15:15">
      <c r="O3022"/>
    </row>
    <row r="3023" spans="15:15">
      <c r="O3023"/>
    </row>
    <row r="3024" spans="15:15">
      <c r="O3024"/>
    </row>
    <row r="3025" spans="15:15">
      <c r="O3025"/>
    </row>
    <row r="3026" spans="15:15">
      <c r="O3026"/>
    </row>
    <row r="3027" spans="15:15">
      <c r="O3027"/>
    </row>
    <row r="3028" spans="15:15">
      <c r="O3028"/>
    </row>
    <row r="3029" spans="15:15">
      <c r="O3029"/>
    </row>
    <row r="3030" spans="15:15">
      <c r="O3030"/>
    </row>
    <row r="3031" spans="15:15">
      <c r="O3031"/>
    </row>
    <row r="3032" spans="15:15">
      <c r="O3032"/>
    </row>
    <row r="3033" spans="15:15">
      <c r="O3033"/>
    </row>
    <row r="3034" spans="15:15">
      <c r="O3034"/>
    </row>
    <row r="3035" spans="15:15">
      <c r="O3035"/>
    </row>
    <row r="3036" spans="15:15">
      <c r="O3036"/>
    </row>
    <row r="3037" spans="15:15">
      <c r="O3037"/>
    </row>
    <row r="3038" spans="15:15">
      <c r="O3038"/>
    </row>
    <row r="3039" spans="15:15">
      <c r="O3039"/>
    </row>
    <row r="3040" spans="15:15">
      <c r="O3040"/>
    </row>
    <row r="3041" spans="15:15">
      <c r="O3041"/>
    </row>
    <row r="3042" spans="15:15">
      <c r="O3042"/>
    </row>
    <row r="3043" spans="15:15">
      <c r="O3043"/>
    </row>
    <row r="3044" spans="15:15">
      <c r="O3044"/>
    </row>
    <row r="3045" spans="15:15">
      <c r="O3045"/>
    </row>
    <row r="3046" spans="15:15">
      <c r="O3046"/>
    </row>
    <row r="3047" spans="15:15">
      <c r="O3047"/>
    </row>
    <row r="3048" spans="15:15">
      <c r="O3048"/>
    </row>
    <row r="3049" spans="15:15">
      <c r="O3049"/>
    </row>
    <row r="3050" spans="15:15">
      <c r="O3050"/>
    </row>
    <row r="3051" spans="15:15">
      <c r="O3051"/>
    </row>
    <row r="3052" spans="15:15">
      <c r="O3052"/>
    </row>
    <row r="3053" spans="15:15">
      <c r="O3053"/>
    </row>
    <row r="3054" spans="15:15">
      <c r="O3054"/>
    </row>
    <row r="3055" spans="15:15">
      <c r="O3055"/>
    </row>
    <row r="3056" spans="15:15">
      <c r="O3056"/>
    </row>
    <row r="3057" spans="15:15">
      <c r="O3057"/>
    </row>
    <row r="3058" spans="15:15">
      <c r="O3058"/>
    </row>
    <row r="3059" spans="15:15">
      <c r="O3059"/>
    </row>
    <row r="3060" spans="15:15">
      <c r="O3060"/>
    </row>
    <row r="3061" spans="15:15">
      <c r="O3061"/>
    </row>
    <row r="3062" spans="15:15">
      <c r="O3062"/>
    </row>
    <row r="3063" spans="15:15">
      <c r="O3063"/>
    </row>
    <row r="3064" spans="15:15">
      <c r="O3064"/>
    </row>
    <row r="3065" spans="15:15">
      <c r="O3065"/>
    </row>
    <row r="3066" spans="15:15">
      <c r="O3066"/>
    </row>
    <row r="3067" spans="15:15">
      <c r="O3067"/>
    </row>
    <row r="3068" spans="15:15">
      <c r="O3068"/>
    </row>
    <row r="3069" spans="15:15">
      <c r="O3069"/>
    </row>
    <row r="3070" spans="15:15">
      <c r="O3070"/>
    </row>
    <row r="3071" spans="15:15">
      <c r="O3071"/>
    </row>
    <row r="3072" spans="15:15">
      <c r="O3072"/>
    </row>
    <row r="3073" spans="15:15">
      <c r="O3073"/>
    </row>
    <row r="3074" spans="15:15">
      <c r="O3074"/>
    </row>
    <row r="3075" spans="15:15">
      <c r="O3075"/>
    </row>
    <row r="3076" spans="15:15">
      <c r="O3076"/>
    </row>
    <row r="3077" spans="15:15">
      <c r="O3077"/>
    </row>
    <row r="3078" spans="15:15">
      <c r="O3078"/>
    </row>
    <row r="3079" spans="15:15">
      <c r="O3079"/>
    </row>
    <row r="3080" spans="15:15">
      <c r="O3080"/>
    </row>
    <row r="3081" spans="15:15">
      <c r="O3081"/>
    </row>
    <row r="3082" spans="15:15">
      <c r="O3082"/>
    </row>
    <row r="3083" spans="15:15">
      <c r="O3083"/>
    </row>
    <row r="3084" spans="15:15">
      <c r="O3084"/>
    </row>
    <row r="3085" spans="15:15">
      <c r="O3085"/>
    </row>
    <row r="3086" spans="15:15">
      <c r="O3086"/>
    </row>
    <row r="3087" spans="15:15">
      <c r="O3087"/>
    </row>
    <row r="3088" spans="15:15">
      <c r="O3088"/>
    </row>
    <row r="3089" spans="15:15">
      <c r="O3089"/>
    </row>
    <row r="3090" spans="15:15">
      <c r="O3090"/>
    </row>
    <row r="3091" spans="15:15">
      <c r="O3091"/>
    </row>
    <row r="3092" spans="15:15">
      <c r="O3092"/>
    </row>
    <row r="3093" spans="15:15">
      <c r="O3093"/>
    </row>
    <row r="3094" spans="15:15">
      <c r="O3094"/>
    </row>
    <row r="3095" spans="15:15">
      <c r="O3095"/>
    </row>
    <row r="3096" spans="15:15">
      <c r="O3096"/>
    </row>
    <row r="3097" spans="15:15">
      <c r="O3097"/>
    </row>
    <row r="3098" spans="15:15">
      <c r="O3098"/>
    </row>
    <row r="3099" spans="15:15">
      <c r="O3099"/>
    </row>
    <row r="3100" spans="15:15">
      <c r="O3100"/>
    </row>
    <row r="3101" spans="15:15">
      <c r="O3101"/>
    </row>
    <row r="3102" spans="15:15">
      <c r="O3102"/>
    </row>
    <row r="3103" spans="15:15">
      <c r="O3103"/>
    </row>
    <row r="3104" spans="15:15">
      <c r="O3104"/>
    </row>
    <row r="3105" spans="15:15">
      <c r="O3105"/>
    </row>
    <row r="3106" spans="15:15">
      <c r="O3106"/>
    </row>
    <row r="3107" spans="15:15">
      <c r="O3107"/>
    </row>
    <row r="3108" spans="15:15">
      <c r="O3108"/>
    </row>
    <row r="3109" spans="15:15">
      <c r="O3109"/>
    </row>
    <row r="3110" spans="15:15">
      <c r="O3110"/>
    </row>
    <row r="3111" spans="15:15">
      <c r="O3111"/>
    </row>
    <row r="3112" spans="15:15">
      <c r="O3112"/>
    </row>
    <row r="3113" spans="15:15">
      <c r="O3113"/>
    </row>
    <row r="3114" spans="15:15">
      <c r="O3114"/>
    </row>
    <row r="3115" spans="15:15">
      <c r="O3115"/>
    </row>
    <row r="3116" spans="15:15">
      <c r="O3116"/>
    </row>
    <row r="3117" spans="15:15">
      <c r="O3117"/>
    </row>
    <row r="3118" spans="15:15">
      <c r="O3118"/>
    </row>
    <row r="3119" spans="15:15">
      <c r="O3119"/>
    </row>
    <row r="3120" spans="15:15">
      <c r="O3120"/>
    </row>
    <row r="3121" spans="15:15">
      <c r="O3121"/>
    </row>
    <row r="3122" spans="15:15">
      <c r="O3122"/>
    </row>
    <row r="3123" spans="15:15">
      <c r="O3123"/>
    </row>
    <row r="3124" spans="15:15">
      <c r="O3124"/>
    </row>
    <row r="3125" spans="15:15">
      <c r="O3125"/>
    </row>
    <row r="3126" spans="15:15">
      <c r="O3126"/>
    </row>
    <row r="3127" spans="15:15">
      <c r="O3127"/>
    </row>
    <row r="3128" spans="15:15">
      <c r="O3128"/>
    </row>
    <row r="3129" spans="15:15">
      <c r="O3129"/>
    </row>
    <row r="3130" spans="15:15">
      <c r="O3130"/>
    </row>
    <row r="3131" spans="15:15">
      <c r="O3131"/>
    </row>
    <row r="3132" spans="15:15">
      <c r="O3132"/>
    </row>
    <row r="3133" spans="15:15">
      <c r="O3133"/>
    </row>
    <row r="3134" spans="15:15">
      <c r="O3134"/>
    </row>
    <row r="3135" spans="15:15">
      <c r="O3135"/>
    </row>
    <row r="3136" spans="15:15">
      <c r="O3136"/>
    </row>
    <row r="3137" spans="15:15">
      <c r="O3137"/>
    </row>
    <row r="3138" spans="15:15">
      <c r="O3138"/>
    </row>
    <row r="3139" spans="15:15">
      <c r="O3139"/>
    </row>
    <row r="3140" spans="15:15">
      <c r="O3140"/>
    </row>
    <row r="3141" spans="15:15">
      <c r="O3141"/>
    </row>
    <row r="3142" spans="15:15">
      <c r="O3142"/>
    </row>
    <row r="3143" spans="15:15">
      <c r="O3143"/>
    </row>
    <row r="3144" spans="15:15">
      <c r="O3144"/>
    </row>
    <row r="3145" spans="15:15">
      <c r="O3145"/>
    </row>
    <row r="3146" spans="15:15">
      <c r="O3146"/>
    </row>
    <row r="3147" spans="15:15">
      <c r="O3147"/>
    </row>
    <row r="3148" spans="15:15">
      <c r="O3148"/>
    </row>
    <row r="3149" spans="15:15">
      <c r="O3149"/>
    </row>
    <row r="3150" spans="15:15">
      <c r="O3150"/>
    </row>
    <row r="3151" spans="15:15">
      <c r="O3151"/>
    </row>
    <row r="3152" spans="15:15">
      <c r="O3152"/>
    </row>
    <row r="3153" spans="15:15">
      <c r="O3153"/>
    </row>
    <row r="3154" spans="15:15">
      <c r="O3154"/>
    </row>
    <row r="3155" spans="15:15">
      <c r="O3155"/>
    </row>
    <row r="3156" spans="15:15">
      <c r="O3156"/>
    </row>
    <row r="3157" spans="15:15">
      <c r="O3157"/>
    </row>
    <row r="3158" spans="15:15">
      <c r="O3158"/>
    </row>
    <row r="3159" spans="15:15">
      <c r="O3159"/>
    </row>
    <row r="3160" spans="15:15">
      <c r="O3160"/>
    </row>
    <row r="3161" spans="15:15">
      <c r="O3161"/>
    </row>
    <row r="3162" spans="15:15">
      <c r="O3162"/>
    </row>
    <row r="3163" spans="15:15">
      <c r="O3163"/>
    </row>
    <row r="3164" spans="15:15">
      <c r="O3164"/>
    </row>
    <row r="3165" spans="15:15">
      <c r="O3165"/>
    </row>
    <row r="3166" spans="15:15">
      <c r="O3166"/>
    </row>
    <row r="3167" spans="15:15">
      <c r="O3167"/>
    </row>
    <row r="3168" spans="15:15">
      <c r="O3168"/>
    </row>
    <row r="3169" spans="15:15">
      <c r="O3169"/>
    </row>
    <row r="3170" spans="15:15">
      <c r="O3170"/>
    </row>
    <row r="3171" spans="15:15">
      <c r="O3171"/>
    </row>
    <row r="3172" spans="15:15">
      <c r="O3172"/>
    </row>
    <row r="3173" spans="15:15">
      <c r="O3173"/>
    </row>
    <row r="3174" spans="15:15">
      <c r="O3174"/>
    </row>
    <row r="3175" spans="15:15">
      <c r="O3175"/>
    </row>
    <row r="3176" spans="15:15">
      <c r="O3176"/>
    </row>
    <row r="3177" spans="15:15">
      <c r="O3177"/>
    </row>
    <row r="3178" spans="15:15">
      <c r="O3178"/>
    </row>
    <row r="3179" spans="15:15">
      <c r="O3179"/>
    </row>
    <row r="3180" spans="15:15">
      <c r="O3180"/>
    </row>
    <row r="3181" spans="15:15">
      <c r="O3181"/>
    </row>
    <row r="3182" spans="15:15">
      <c r="O3182"/>
    </row>
    <row r="3183" spans="15:15">
      <c r="O3183"/>
    </row>
    <row r="3184" spans="15:15">
      <c r="O3184"/>
    </row>
    <row r="3185" spans="15:15">
      <c r="O3185"/>
    </row>
    <row r="3186" spans="15:15">
      <c r="O3186"/>
    </row>
    <row r="3187" spans="15:15">
      <c r="O3187"/>
    </row>
    <row r="3188" spans="15:15">
      <c r="O3188"/>
    </row>
    <row r="3189" spans="15:15">
      <c r="O3189"/>
    </row>
    <row r="3190" spans="15:15">
      <c r="O3190"/>
    </row>
    <row r="3191" spans="15:15">
      <c r="O3191"/>
    </row>
    <row r="3192" spans="15:15">
      <c r="O3192"/>
    </row>
    <row r="3193" spans="15:15">
      <c r="O3193"/>
    </row>
    <row r="3194" spans="15:15">
      <c r="O3194"/>
    </row>
    <row r="3195" spans="15:15">
      <c r="O3195"/>
    </row>
    <row r="3196" spans="15:15">
      <c r="O3196"/>
    </row>
    <row r="3197" spans="15:15">
      <c r="O3197"/>
    </row>
    <row r="3198" spans="15:15">
      <c r="O3198"/>
    </row>
    <row r="3199" spans="15:15">
      <c r="O3199"/>
    </row>
    <row r="3200" spans="15:15">
      <c r="O3200"/>
    </row>
    <row r="3201" spans="15:15">
      <c r="O3201"/>
    </row>
    <row r="3202" spans="15:15">
      <c r="O3202"/>
    </row>
    <row r="3203" spans="15:15">
      <c r="O3203"/>
    </row>
    <row r="3204" spans="15:15">
      <c r="O3204"/>
    </row>
    <row r="3205" spans="15:15">
      <c r="O3205"/>
    </row>
    <row r="3206" spans="15:15">
      <c r="O3206"/>
    </row>
    <row r="3207" spans="15:15">
      <c r="O3207"/>
    </row>
    <row r="3208" spans="15:15">
      <c r="O3208"/>
    </row>
    <row r="3209" spans="15:15">
      <c r="O3209"/>
    </row>
    <row r="3210" spans="15:15">
      <c r="O3210"/>
    </row>
    <row r="3211" spans="15:15">
      <c r="O3211"/>
    </row>
    <row r="3212" spans="15:15">
      <c r="O3212"/>
    </row>
    <row r="3213" spans="15:15">
      <c r="O3213"/>
    </row>
    <row r="3214" spans="15:15">
      <c r="O3214"/>
    </row>
    <row r="3215" spans="15:15">
      <c r="O3215"/>
    </row>
    <row r="3216" spans="15:15">
      <c r="O3216"/>
    </row>
    <row r="3217" spans="15:15">
      <c r="O3217"/>
    </row>
    <row r="3218" spans="15:15">
      <c r="O3218"/>
    </row>
    <row r="3219" spans="15:15">
      <c r="O3219"/>
    </row>
    <row r="3220" spans="15:15">
      <c r="O3220"/>
    </row>
    <row r="3221" spans="15:15">
      <c r="O3221"/>
    </row>
    <row r="3222" spans="15:15">
      <c r="O3222"/>
    </row>
    <row r="3223" spans="15:15">
      <c r="O3223"/>
    </row>
    <row r="3224" spans="15:15">
      <c r="O3224"/>
    </row>
    <row r="3225" spans="15:15">
      <c r="O3225"/>
    </row>
    <row r="3226" spans="15:15">
      <c r="O3226"/>
    </row>
    <row r="3227" spans="15:15">
      <c r="O3227"/>
    </row>
    <row r="3228" spans="15:15">
      <c r="O3228"/>
    </row>
    <row r="3229" spans="15:15">
      <c r="O3229"/>
    </row>
    <row r="3230" spans="15:15">
      <c r="O3230"/>
    </row>
    <row r="3231" spans="15:15">
      <c r="O3231"/>
    </row>
    <row r="3232" spans="15:15">
      <c r="O3232"/>
    </row>
    <row r="3233" spans="15:15">
      <c r="O3233"/>
    </row>
    <row r="3234" spans="15:15">
      <c r="O3234"/>
    </row>
    <row r="3235" spans="15:15">
      <c r="O3235"/>
    </row>
    <row r="3236" spans="15:15">
      <c r="O3236"/>
    </row>
    <row r="3237" spans="15:15">
      <c r="O3237"/>
    </row>
    <row r="3238" spans="15:15">
      <c r="O3238"/>
    </row>
    <row r="3239" spans="15:15">
      <c r="O3239"/>
    </row>
    <row r="3240" spans="15:15">
      <c r="O3240"/>
    </row>
    <row r="3241" spans="15:15">
      <c r="O3241"/>
    </row>
    <row r="3242" spans="15:15">
      <c r="O3242"/>
    </row>
    <row r="3243" spans="15:15">
      <c r="O3243"/>
    </row>
    <row r="3244" spans="15:15">
      <c r="O3244"/>
    </row>
    <row r="3245" spans="15:15">
      <c r="O3245"/>
    </row>
    <row r="3246" spans="15:15">
      <c r="O3246"/>
    </row>
    <row r="3247" spans="15:15">
      <c r="O3247"/>
    </row>
    <row r="3248" spans="15:15">
      <c r="O3248"/>
    </row>
    <row r="3249" spans="15:15">
      <c r="O3249"/>
    </row>
    <row r="3250" spans="15:15">
      <c r="O3250"/>
    </row>
    <row r="3251" spans="15:15">
      <c r="O3251"/>
    </row>
    <row r="3252" spans="15:15">
      <c r="O3252"/>
    </row>
    <row r="3253" spans="15:15">
      <c r="O3253"/>
    </row>
    <row r="3254" spans="15:15">
      <c r="O3254"/>
    </row>
    <row r="3255" spans="15:15">
      <c r="O3255"/>
    </row>
    <row r="3256" spans="15:15">
      <c r="O3256"/>
    </row>
    <row r="3257" spans="15:15">
      <c r="O3257"/>
    </row>
    <row r="3258" spans="15:15">
      <c r="O3258"/>
    </row>
    <row r="3259" spans="15:15">
      <c r="O3259"/>
    </row>
    <row r="3260" spans="15:15">
      <c r="O3260"/>
    </row>
    <row r="3261" spans="15:15">
      <c r="O3261"/>
    </row>
    <row r="3262" spans="15:15">
      <c r="O3262"/>
    </row>
    <row r="3263" spans="15:15">
      <c r="O3263"/>
    </row>
    <row r="3264" spans="15:15">
      <c r="O3264"/>
    </row>
    <row r="3265" spans="15:15">
      <c r="O3265"/>
    </row>
    <row r="3266" spans="15:15">
      <c r="O3266"/>
    </row>
    <row r="3267" spans="15:15">
      <c r="O3267"/>
    </row>
    <row r="3268" spans="15:15">
      <c r="O3268"/>
    </row>
    <row r="3269" spans="15:15">
      <c r="O3269"/>
    </row>
    <row r="3270" spans="15:15">
      <c r="O3270"/>
    </row>
    <row r="3271" spans="15:15">
      <c r="O3271"/>
    </row>
    <row r="3272" spans="15:15">
      <c r="O3272"/>
    </row>
    <row r="3273" spans="15:15">
      <c r="O3273"/>
    </row>
    <row r="3274" spans="15:15">
      <c r="O3274"/>
    </row>
    <row r="3275" spans="15:15">
      <c r="O3275"/>
    </row>
    <row r="3276" spans="15:15">
      <c r="O3276"/>
    </row>
    <row r="3277" spans="15:15">
      <c r="O3277"/>
    </row>
    <row r="3278" spans="15:15">
      <c r="O3278"/>
    </row>
    <row r="3279" spans="15:15">
      <c r="O3279"/>
    </row>
    <row r="3280" spans="15:15">
      <c r="O3280"/>
    </row>
    <row r="3281" spans="15:15">
      <c r="O3281"/>
    </row>
    <row r="3282" spans="15:15">
      <c r="O3282"/>
    </row>
    <row r="3283" spans="15:15">
      <c r="O3283"/>
    </row>
    <row r="3284" spans="15:15">
      <c r="O3284"/>
    </row>
    <row r="3285" spans="15:15">
      <c r="O3285"/>
    </row>
    <row r="3286" spans="15:15">
      <c r="O3286"/>
    </row>
    <row r="3287" spans="15:15">
      <c r="O3287"/>
    </row>
    <row r="3288" spans="15:15">
      <c r="O3288"/>
    </row>
    <row r="3289" spans="15:15">
      <c r="O3289"/>
    </row>
    <row r="3290" spans="15:15">
      <c r="O3290"/>
    </row>
    <row r="3291" spans="15:15">
      <c r="O3291"/>
    </row>
    <row r="3292" spans="15:15">
      <c r="O3292"/>
    </row>
    <row r="3293" spans="15:15">
      <c r="O3293"/>
    </row>
    <row r="3294" spans="15:15">
      <c r="O3294"/>
    </row>
    <row r="3295" spans="15:15">
      <c r="O3295"/>
    </row>
    <row r="3296" spans="15:15">
      <c r="O3296"/>
    </row>
    <row r="3297" spans="15:15">
      <c r="O3297"/>
    </row>
    <row r="3298" spans="15:15">
      <c r="O3298"/>
    </row>
    <row r="3299" spans="15:15">
      <c r="O3299"/>
    </row>
    <row r="3300" spans="15:15">
      <c r="O3300"/>
    </row>
    <row r="3301" spans="15:15">
      <c r="O3301"/>
    </row>
    <row r="3302" spans="15:15">
      <c r="O3302"/>
    </row>
    <row r="3303" spans="15:15">
      <c r="O3303"/>
    </row>
    <row r="3304" spans="15:15">
      <c r="O3304"/>
    </row>
    <row r="3305" spans="15:15">
      <c r="O3305"/>
    </row>
    <row r="3306" spans="15:15">
      <c r="O3306"/>
    </row>
    <row r="3307" spans="15:15">
      <c r="O3307"/>
    </row>
    <row r="3308" spans="15:15">
      <c r="O3308"/>
    </row>
    <row r="3309" spans="15:15">
      <c r="O3309"/>
    </row>
    <row r="3310" spans="15:15">
      <c r="O3310"/>
    </row>
    <row r="3311" spans="15:15">
      <c r="O3311"/>
    </row>
    <row r="3312" spans="15:15">
      <c r="O3312"/>
    </row>
    <row r="3313" spans="15:15">
      <c r="O3313"/>
    </row>
    <row r="3314" spans="15:15">
      <c r="O3314"/>
    </row>
    <row r="3315" spans="15:15">
      <c r="O3315"/>
    </row>
    <row r="3316" spans="15:15">
      <c r="O3316"/>
    </row>
    <row r="3317" spans="15:15">
      <c r="O3317"/>
    </row>
    <row r="3318" spans="15:15">
      <c r="O3318"/>
    </row>
    <row r="3319" spans="15:15">
      <c r="O3319"/>
    </row>
    <row r="3320" spans="15:15">
      <c r="O3320"/>
    </row>
    <row r="3321" spans="15:15">
      <c r="O3321"/>
    </row>
    <row r="3322" spans="15:15">
      <c r="O3322"/>
    </row>
    <row r="3323" spans="15:15">
      <c r="O3323"/>
    </row>
    <row r="3324" spans="15:15">
      <c r="O3324"/>
    </row>
    <row r="3325" spans="15:15">
      <c r="O3325"/>
    </row>
    <row r="3326" spans="15:15">
      <c r="O3326"/>
    </row>
    <row r="3327" spans="15:15">
      <c r="O3327"/>
    </row>
    <row r="3328" spans="15:15">
      <c r="O3328"/>
    </row>
    <row r="3329" spans="15:15">
      <c r="O3329"/>
    </row>
    <row r="3330" spans="15:15">
      <c r="O3330"/>
    </row>
    <row r="3331" spans="15:15">
      <c r="O3331"/>
    </row>
    <row r="3332" spans="15:15">
      <c r="O3332"/>
    </row>
    <row r="3333" spans="15:15">
      <c r="O3333"/>
    </row>
    <row r="3334" spans="15:15">
      <c r="O3334"/>
    </row>
    <row r="3335" spans="15:15">
      <c r="O3335"/>
    </row>
    <row r="3336" spans="15:15">
      <c r="O3336"/>
    </row>
    <row r="3337" spans="15:15">
      <c r="O3337"/>
    </row>
    <row r="3338" spans="15:15">
      <c r="O3338"/>
    </row>
    <row r="3339" spans="15:15">
      <c r="O3339"/>
    </row>
    <row r="3340" spans="15:15">
      <c r="O3340"/>
    </row>
    <row r="3341" spans="15:15">
      <c r="O3341"/>
    </row>
    <row r="3342" spans="15:15">
      <c r="O3342"/>
    </row>
    <row r="3343" spans="15:15">
      <c r="O3343"/>
    </row>
    <row r="3344" spans="15:15">
      <c r="O3344"/>
    </row>
    <row r="3345" spans="15:15">
      <c r="O3345"/>
    </row>
    <row r="3346" spans="15:15">
      <c r="O3346"/>
    </row>
    <row r="3347" spans="15:15">
      <c r="O3347"/>
    </row>
    <row r="3348" spans="15:15">
      <c r="O3348"/>
    </row>
    <row r="3349" spans="15:15">
      <c r="O3349"/>
    </row>
    <row r="3350" spans="15:15">
      <c r="O3350"/>
    </row>
    <row r="3351" spans="15:15">
      <c r="O3351"/>
    </row>
    <row r="3352" spans="15:15">
      <c r="O3352"/>
    </row>
    <row r="3353" spans="15:15">
      <c r="O3353"/>
    </row>
    <row r="3354" spans="15:15">
      <c r="O3354"/>
    </row>
    <row r="3355" spans="15:15">
      <c r="O3355"/>
    </row>
    <row r="3356" spans="15:15">
      <c r="O3356"/>
    </row>
    <row r="3357" spans="15:15">
      <c r="O3357"/>
    </row>
    <row r="3358" spans="15:15">
      <c r="O3358"/>
    </row>
    <row r="3359" spans="15:15">
      <c r="O3359"/>
    </row>
    <row r="3360" spans="15:15">
      <c r="O3360"/>
    </row>
    <row r="3361" spans="15:15">
      <c r="O3361"/>
    </row>
    <row r="3362" spans="15:15">
      <c r="O3362"/>
    </row>
    <row r="3363" spans="15:15">
      <c r="O3363"/>
    </row>
    <row r="3364" spans="15:15">
      <c r="O3364"/>
    </row>
    <row r="3365" spans="15:15">
      <c r="O3365"/>
    </row>
    <row r="3366" spans="15:15">
      <c r="O3366"/>
    </row>
    <row r="3367" spans="15:15">
      <c r="O3367"/>
    </row>
    <row r="3368" spans="15:15">
      <c r="O3368"/>
    </row>
    <row r="3369" spans="15:15">
      <c r="O3369"/>
    </row>
    <row r="3370" spans="15:15">
      <c r="O3370"/>
    </row>
    <row r="3371" spans="15:15">
      <c r="O3371"/>
    </row>
    <row r="3372" spans="15:15">
      <c r="O3372"/>
    </row>
    <row r="3373" spans="15:15">
      <c r="O3373"/>
    </row>
    <row r="3374" spans="15:15">
      <c r="O3374"/>
    </row>
    <row r="3375" spans="15:15">
      <c r="O3375"/>
    </row>
    <row r="3376" spans="15:15">
      <c r="O3376"/>
    </row>
    <row r="3377" spans="15:15">
      <c r="O3377"/>
    </row>
    <row r="3378" spans="15:15">
      <c r="O3378"/>
    </row>
    <row r="3379" spans="15:15">
      <c r="O3379"/>
    </row>
    <row r="3380" spans="15:15">
      <c r="O3380"/>
    </row>
    <row r="3381" spans="15:15">
      <c r="O3381"/>
    </row>
    <row r="3382" spans="15:15">
      <c r="O3382"/>
    </row>
    <row r="3383" spans="15:15">
      <c r="O3383"/>
    </row>
    <row r="3384" spans="15:15">
      <c r="O3384"/>
    </row>
    <row r="3385" spans="15:15">
      <c r="O3385"/>
    </row>
    <row r="3386" spans="15:15">
      <c r="O3386"/>
    </row>
    <row r="3387" spans="15:15">
      <c r="O3387"/>
    </row>
    <row r="3388" spans="15:15">
      <c r="O3388"/>
    </row>
    <row r="3389" spans="15:15">
      <c r="O3389"/>
    </row>
    <row r="3390" spans="15:15">
      <c r="O3390"/>
    </row>
    <row r="3391" spans="15:15">
      <c r="O3391"/>
    </row>
    <row r="3392" spans="15:15">
      <c r="O3392"/>
    </row>
    <row r="3393" spans="15:15">
      <c r="O3393"/>
    </row>
    <row r="3394" spans="15:15">
      <c r="O3394"/>
    </row>
    <row r="3395" spans="15:15">
      <c r="O3395"/>
    </row>
    <row r="3396" spans="15:15">
      <c r="O3396"/>
    </row>
    <row r="3397" spans="15:15">
      <c r="O3397"/>
    </row>
    <row r="3398" spans="15:15">
      <c r="O3398"/>
    </row>
    <row r="3399" spans="15:15">
      <c r="O3399"/>
    </row>
    <row r="3400" spans="15:15">
      <c r="O3400"/>
    </row>
    <row r="3401" spans="15:15">
      <c r="O3401"/>
    </row>
    <row r="3402" spans="15:15">
      <c r="O3402"/>
    </row>
    <row r="3403" spans="15:15">
      <c r="O3403"/>
    </row>
    <row r="3404" spans="15:15">
      <c r="O3404"/>
    </row>
    <row r="3405" spans="15:15">
      <c r="O3405"/>
    </row>
    <row r="3406" spans="15:15">
      <c r="O3406"/>
    </row>
    <row r="3407" spans="15:15">
      <c r="O3407"/>
    </row>
    <row r="3408" spans="15:15">
      <c r="O3408"/>
    </row>
    <row r="3409" spans="15:15">
      <c r="O3409"/>
    </row>
    <row r="3410" spans="15:15">
      <c r="O3410"/>
    </row>
    <row r="3411" spans="15:15">
      <c r="O3411"/>
    </row>
    <row r="3412" spans="15:15">
      <c r="O3412"/>
    </row>
    <row r="3413" spans="15:15">
      <c r="O3413"/>
    </row>
    <row r="3414" spans="15:15">
      <c r="O3414"/>
    </row>
    <row r="3415" spans="15:15">
      <c r="O3415"/>
    </row>
    <row r="3416" spans="15:15">
      <c r="O3416"/>
    </row>
    <row r="3417" spans="15:15">
      <c r="O3417"/>
    </row>
    <row r="3418" spans="15:15">
      <c r="O3418"/>
    </row>
    <row r="3419" spans="15:15">
      <c r="O3419"/>
    </row>
    <row r="3420" spans="15:15">
      <c r="O3420"/>
    </row>
    <row r="3421" spans="15:15">
      <c r="O3421"/>
    </row>
    <row r="3422" spans="15:15">
      <c r="O3422"/>
    </row>
    <row r="3423" spans="15:15">
      <c r="O3423"/>
    </row>
    <row r="3424" spans="15:15">
      <c r="O3424"/>
    </row>
    <row r="3425" spans="15:15">
      <c r="O3425"/>
    </row>
    <row r="3426" spans="15:15">
      <c r="O3426"/>
    </row>
    <row r="3427" spans="15:15">
      <c r="O3427"/>
    </row>
    <row r="3428" spans="15:15">
      <c r="O3428"/>
    </row>
    <row r="3429" spans="15:15">
      <c r="O3429"/>
    </row>
    <row r="3430" spans="15:15">
      <c r="O3430"/>
    </row>
    <row r="3431" spans="15:15">
      <c r="O3431"/>
    </row>
    <row r="3432" spans="15:15">
      <c r="O3432"/>
    </row>
    <row r="3433" spans="15:15">
      <c r="O3433"/>
    </row>
    <row r="3434" spans="15:15">
      <c r="O3434"/>
    </row>
    <row r="3435" spans="15:15">
      <c r="O3435"/>
    </row>
    <row r="3436" spans="15:15">
      <c r="O3436"/>
    </row>
    <row r="3437" spans="15:15">
      <c r="O3437"/>
    </row>
    <row r="3438" spans="15:15">
      <c r="O3438"/>
    </row>
    <row r="3439" spans="15:15">
      <c r="O3439"/>
    </row>
    <row r="3440" spans="15:15">
      <c r="O3440"/>
    </row>
    <row r="3441" spans="15:15">
      <c r="O3441"/>
    </row>
    <row r="3442" spans="15:15">
      <c r="O3442"/>
    </row>
    <row r="3443" spans="15:15">
      <c r="O3443"/>
    </row>
    <row r="3444" spans="15:15">
      <c r="O3444"/>
    </row>
    <row r="3445" spans="15:15">
      <c r="O3445"/>
    </row>
    <row r="3446" spans="15:15">
      <c r="O3446"/>
    </row>
    <row r="3447" spans="15:15">
      <c r="O3447"/>
    </row>
    <row r="3448" spans="15:15">
      <c r="O3448"/>
    </row>
    <row r="3449" spans="15:15">
      <c r="O3449"/>
    </row>
    <row r="3450" spans="15:15">
      <c r="O3450"/>
    </row>
    <row r="3451" spans="15:15">
      <c r="O3451"/>
    </row>
    <row r="3452" spans="15:15">
      <c r="O3452"/>
    </row>
    <row r="3453" spans="15:15">
      <c r="O3453"/>
    </row>
    <row r="3454" spans="15:15">
      <c r="O3454"/>
    </row>
    <row r="3455" spans="15:15">
      <c r="O3455"/>
    </row>
    <row r="3456" spans="15:15">
      <c r="O3456"/>
    </row>
    <row r="3457" spans="15:15">
      <c r="O3457"/>
    </row>
    <row r="3458" spans="15:15">
      <c r="O3458"/>
    </row>
    <row r="3459" spans="15:15">
      <c r="O3459"/>
    </row>
    <row r="3460" spans="15:15">
      <c r="O3460"/>
    </row>
    <row r="3461" spans="15:15">
      <c r="O3461"/>
    </row>
    <row r="3462" spans="15:15">
      <c r="O3462"/>
    </row>
    <row r="3463" spans="15:15">
      <c r="O3463"/>
    </row>
    <row r="3464" spans="15:15">
      <c r="O3464"/>
    </row>
    <row r="3465" spans="15:15">
      <c r="O3465"/>
    </row>
    <row r="3466" spans="15:15">
      <c r="O3466"/>
    </row>
    <row r="3467" spans="15:15">
      <c r="O3467"/>
    </row>
    <row r="3468" spans="15:15">
      <c r="O3468"/>
    </row>
    <row r="3469" spans="15:15">
      <c r="O3469"/>
    </row>
    <row r="3470" spans="15:15">
      <c r="O3470"/>
    </row>
    <row r="3471" spans="15:15">
      <c r="O3471"/>
    </row>
    <row r="3472" spans="15:15">
      <c r="O3472"/>
    </row>
    <row r="3473" spans="15:15">
      <c r="O3473"/>
    </row>
    <row r="3474" spans="15:15">
      <c r="O3474"/>
    </row>
    <row r="3475" spans="15:15">
      <c r="O3475"/>
    </row>
    <row r="3476" spans="15:15">
      <c r="O3476"/>
    </row>
    <row r="3477" spans="15:15">
      <c r="O3477"/>
    </row>
    <row r="3478" spans="15:15">
      <c r="O3478"/>
    </row>
    <row r="3479" spans="15:15">
      <c r="O3479"/>
    </row>
    <row r="3480" spans="15:15">
      <c r="O3480"/>
    </row>
    <row r="3481" spans="15:15">
      <c r="O3481"/>
    </row>
    <row r="3482" spans="15:15">
      <c r="O3482"/>
    </row>
    <row r="3483" spans="15:15">
      <c r="O3483"/>
    </row>
    <row r="3484" spans="15:15">
      <c r="O3484"/>
    </row>
    <row r="3485" spans="15:15">
      <c r="O3485"/>
    </row>
    <row r="3486" spans="15:15">
      <c r="O3486"/>
    </row>
    <row r="3487" spans="15:15">
      <c r="O3487"/>
    </row>
    <row r="3488" spans="15:15">
      <c r="O3488"/>
    </row>
    <row r="3489" spans="15:15">
      <c r="O3489"/>
    </row>
    <row r="3490" spans="15:15">
      <c r="O3490"/>
    </row>
    <row r="3491" spans="15:15">
      <c r="O3491"/>
    </row>
    <row r="3492" spans="15:15">
      <c r="O3492"/>
    </row>
    <row r="3493" spans="15:15">
      <c r="O3493"/>
    </row>
    <row r="3494" spans="15:15">
      <c r="O3494"/>
    </row>
    <row r="3495" spans="15:15">
      <c r="O3495"/>
    </row>
    <row r="3496" spans="15:15">
      <c r="O3496"/>
    </row>
    <row r="3497" spans="15:15">
      <c r="O3497"/>
    </row>
    <row r="3498" spans="15:15">
      <c r="O3498"/>
    </row>
    <row r="3499" spans="15:15">
      <c r="O3499"/>
    </row>
    <row r="3500" spans="15:15">
      <c r="O3500"/>
    </row>
    <row r="3501" spans="15:15">
      <c r="O3501"/>
    </row>
    <row r="3502" spans="15:15">
      <c r="O3502"/>
    </row>
    <row r="3503" spans="15:15">
      <c r="O3503"/>
    </row>
    <row r="3504" spans="15:15">
      <c r="O3504"/>
    </row>
    <row r="3505" spans="15:15">
      <c r="O3505"/>
    </row>
    <row r="3506" spans="15:15">
      <c r="O3506"/>
    </row>
    <row r="3507" spans="15:15">
      <c r="O3507"/>
    </row>
    <row r="3508" spans="15:15">
      <c r="O3508"/>
    </row>
    <row r="3509" spans="15:15">
      <c r="O3509"/>
    </row>
    <row r="3510" spans="15:15">
      <c r="O3510"/>
    </row>
    <row r="3511" spans="15:15">
      <c r="O3511"/>
    </row>
    <row r="3512" spans="15:15">
      <c r="O3512"/>
    </row>
    <row r="3513" spans="15:15">
      <c r="O3513"/>
    </row>
    <row r="3514" spans="15:15">
      <c r="O3514"/>
    </row>
    <row r="3515" spans="15:15">
      <c r="O3515"/>
    </row>
    <row r="3516" spans="15:15">
      <c r="O3516"/>
    </row>
    <row r="3517" spans="15:15">
      <c r="O3517"/>
    </row>
    <row r="3518" spans="15:15">
      <c r="O3518"/>
    </row>
    <row r="3519" spans="15:15">
      <c r="O3519"/>
    </row>
    <row r="3520" spans="15:15">
      <c r="O3520"/>
    </row>
    <row r="3521" spans="15:15">
      <c r="O3521"/>
    </row>
    <row r="3522" spans="15:15">
      <c r="O3522"/>
    </row>
    <row r="3523" spans="15:15">
      <c r="O3523"/>
    </row>
    <row r="3524" spans="15:15">
      <c r="O3524"/>
    </row>
    <row r="3525" spans="15:15">
      <c r="O3525"/>
    </row>
    <row r="3526" spans="15:15">
      <c r="O3526"/>
    </row>
    <row r="3527" spans="15:15">
      <c r="O3527"/>
    </row>
    <row r="3528" spans="15:15">
      <c r="O3528"/>
    </row>
    <row r="3529" spans="15:15">
      <c r="O3529"/>
    </row>
    <row r="3530" spans="15:15">
      <c r="O3530"/>
    </row>
    <row r="3531" spans="15:15">
      <c r="O3531"/>
    </row>
    <row r="3532" spans="15:15">
      <c r="O3532"/>
    </row>
    <row r="3533" spans="15:15">
      <c r="O3533"/>
    </row>
    <row r="3534" spans="15:15">
      <c r="O3534"/>
    </row>
    <row r="3535" spans="15:15">
      <c r="O3535"/>
    </row>
    <row r="3536" spans="15:15">
      <c r="O3536"/>
    </row>
    <row r="3537" spans="15:15">
      <c r="O3537"/>
    </row>
    <row r="3538" spans="15:15">
      <c r="O3538"/>
    </row>
    <row r="3539" spans="15:15">
      <c r="O3539"/>
    </row>
    <row r="3540" spans="15:15">
      <c r="O3540"/>
    </row>
    <row r="3541" spans="15:15">
      <c r="O3541"/>
    </row>
    <row r="3542" spans="15:15">
      <c r="O3542"/>
    </row>
    <row r="3543" spans="15:15">
      <c r="O3543"/>
    </row>
    <row r="3544" spans="15:15">
      <c r="O3544"/>
    </row>
    <row r="3545" spans="15:15">
      <c r="O3545"/>
    </row>
    <row r="3546" spans="15:15">
      <c r="O3546"/>
    </row>
    <row r="3547" spans="15:15">
      <c r="O3547"/>
    </row>
    <row r="3548" spans="15:15">
      <c r="O3548"/>
    </row>
    <row r="3549" spans="15:15">
      <c r="O3549"/>
    </row>
    <row r="3550" spans="15:15">
      <c r="O3550"/>
    </row>
    <row r="3551" spans="15:15">
      <c r="O3551"/>
    </row>
    <row r="3552" spans="15:15">
      <c r="O3552"/>
    </row>
    <row r="3553" spans="15:15">
      <c r="O3553"/>
    </row>
    <row r="3554" spans="15:15">
      <c r="O3554"/>
    </row>
    <row r="3555" spans="15:15">
      <c r="O3555"/>
    </row>
    <row r="3556" spans="15:15">
      <c r="O3556"/>
    </row>
    <row r="3557" spans="15:15">
      <c r="O3557"/>
    </row>
    <row r="3558" spans="15:15">
      <c r="O3558"/>
    </row>
    <row r="3559" spans="15:15">
      <c r="O3559"/>
    </row>
    <row r="3560" spans="15:15">
      <c r="O3560"/>
    </row>
    <row r="3561" spans="15:15">
      <c r="O3561"/>
    </row>
    <row r="3562" spans="15:15">
      <c r="O3562"/>
    </row>
    <row r="3563" spans="15:15">
      <c r="O3563"/>
    </row>
    <row r="3564" spans="15:15">
      <c r="O3564"/>
    </row>
    <row r="3565" spans="15:15">
      <c r="O3565"/>
    </row>
    <row r="3566" spans="15:15">
      <c r="O3566"/>
    </row>
    <row r="3567" spans="15:15">
      <c r="O3567"/>
    </row>
    <row r="3568" spans="15:15">
      <c r="O3568"/>
    </row>
    <row r="3569" spans="15:15">
      <c r="O3569"/>
    </row>
    <row r="3570" spans="15:15">
      <c r="O3570"/>
    </row>
    <row r="3571" spans="15:15">
      <c r="O3571"/>
    </row>
    <row r="3572" spans="15:15">
      <c r="O3572"/>
    </row>
    <row r="3573" spans="15:15">
      <c r="O3573"/>
    </row>
    <row r="3574" spans="15:15">
      <c r="O3574"/>
    </row>
    <row r="3575" spans="15:15">
      <c r="O3575"/>
    </row>
    <row r="3576" spans="15:15">
      <c r="O3576"/>
    </row>
    <row r="3577" spans="15:15">
      <c r="O3577"/>
    </row>
    <row r="3578" spans="15:15">
      <c r="O3578"/>
    </row>
    <row r="3579" spans="15:15">
      <c r="O3579"/>
    </row>
    <row r="3580" spans="15:15">
      <c r="O3580"/>
    </row>
    <row r="3581" spans="15:15">
      <c r="O3581"/>
    </row>
    <row r="3582" spans="15:15">
      <c r="O3582"/>
    </row>
    <row r="3583" spans="15:15">
      <c r="O3583"/>
    </row>
    <row r="3584" spans="15:15">
      <c r="O3584"/>
    </row>
    <row r="3585" spans="15:15">
      <c r="O3585"/>
    </row>
    <row r="3586" spans="15:15">
      <c r="O3586"/>
    </row>
    <row r="3587" spans="15:15">
      <c r="O3587"/>
    </row>
    <row r="3588" spans="15:15">
      <c r="O3588"/>
    </row>
    <row r="3589" spans="15:15">
      <c r="O3589"/>
    </row>
    <row r="3590" spans="15:15">
      <c r="O3590"/>
    </row>
    <row r="3591" spans="15:15">
      <c r="O3591"/>
    </row>
    <row r="3592" spans="15:15">
      <c r="O3592"/>
    </row>
    <row r="3593" spans="15:15">
      <c r="O3593"/>
    </row>
    <row r="3594" spans="15:15">
      <c r="O3594"/>
    </row>
    <row r="3595" spans="15:15">
      <c r="O3595"/>
    </row>
    <row r="3596" spans="15:15">
      <c r="O3596"/>
    </row>
    <row r="3597" spans="15:15">
      <c r="O3597"/>
    </row>
    <row r="3598" spans="15:15">
      <c r="O3598"/>
    </row>
    <row r="3599" spans="15:15">
      <c r="O3599"/>
    </row>
    <row r="3600" spans="15:15">
      <c r="O3600"/>
    </row>
    <row r="3601" spans="15:15">
      <c r="O3601"/>
    </row>
    <row r="3602" spans="15:15">
      <c r="O3602"/>
    </row>
    <row r="3603" spans="15:15">
      <c r="O3603"/>
    </row>
    <row r="3604" spans="15:15">
      <c r="O3604"/>
    </row>
    <row r="3605" spans="15:15">
      <c r="O3605"/>
    </row>
    <row r="3606" spans="15:15">
      <c r="O3606"/>
    </row>
    <row r="3607" spans="15:15">
      <c r="O3607"/>
    </row>
    <row r="3608" spans="15:15">
      <c r="O3608"/>
    </row>
    <row r="3609" spans="15:15">
      <c r="O3609"/>
    </row>
    <row r="3610" spans="15:15">
      <c r="O3610"/>
    </row>
    <row r="3611" spans="15:15">
      <c r="O3611"/>
    </row>
    <row r="3612" spans="15:15">
      <c r="O3612"/>
    </row>
    <row r="3613" spans="15:15">
      <c r="O3613"/>
    </row>
    <row r="3614" spans="15:15">
      <c r="O3614"/>
    </row>
    <row r="3615" spans="15:15">
      <c r="O3615"/>
    </row>
    <row r="3616" spans="15:15">
      <c r="O3616"/>
    </row>
    <row r="3617" spans="15:15">
      <c r="O3617"/>
    </row>
    <row r="3618" spans="15:15">
      <c r="O3618"/>
    </row>
    <row r="3619" spans="15:15">
      <c r="O3619"/>
    </row>
    <row r="3620" spans="15:15">
      <c r="O3620"/>
    </row>
    <row r="3621" spans="15:15">
      <c r="O3621"/>
    </row>
    <row r="3622" spans="15:15">
      <c r="O3622"/>
    </row>
    <row r="3623" spans="15:15">
      <c r="O3623"/>
    </row>
    <row r="3624" spans="15:15">
      <c r="O3624"/>
    </row>
    <row r="3625" spans="15:15">
      <c r="O3625"/>
    </row>
    <row r="3626" spans="15:15">
      <c r="O3626"/>
    </row>
    <row r="3627" spans="15:15">
      <c r="O3627"/>
    </row>
    <row r="3628" spans="15:15">
      <c r="O3628"/>
    </row>
    <row r="3629" spans="15:15">
      <c r="O3629"/>
    </row>
    <row r="3630" spans="15:15">
      <c r="O3630"/>
    </row>
    <row r="3631" spans="15:15">
      <c r="O3631"/>
    </row>
    <row r="3632" spans="15:15">
      <c r="O3632"/>
    </row>
    <row r="3633" spans="15:15">
      <c r="O3633"/>
    </row>
    <row r="3634" spans="15:15">
      <c r="O3634"/>
    </row>
    <row r="3635" spans="15:15">
      <c r="O3635"/>
    </row>
    <row r="3636" spans="15:15">
      <c r="O3636"/>
    </row>
    <row r="3637" spans="15:15">
      <c r="O3637"/>
    </row>
    <row r="3638" spans="15:15">
      <c r="O3638"/>
    </row>
    <row r="3639" spans="15:15">
      <c r="O3639"/>
    </row>
    <row r="3640" spans="15:15">
      <c r="O3640"/>
    </row>
    <row r="3641" spans="15:15">
      <c r="O3641"/>
    </row>
    <row r="3642" spans="15:15">
      <c r="O3642"/>
    </row>
    <row r="3643" spans="15:15">
      <c r="O3643"/>
    </row>
    <row r="3644" spans="15:15">
      <c r="O3644"/>
    </row>
    <row r="3645" spans="15:15">
      <c r="O3645"/>
    </row>
    <row r="3646" spans="15:15">
      <c r="O3646"/>
    </row>
    <row r="3647" spans="15:15">
      <c r="O3647"/>
    </row>
    <row r="3648" spans="15:15">
      <c r="O3648"/>
    </row>
    <row r="3649" spans="15:15">
      <c r="O3649"/>
    </row>
    <row r="3650" spans="15:15">
      <c r="O3650"/>
    </row>
    <row r="3651" spans="15:15">
      <c r="O3651"/>
    </row>
    <row r="3652" spans="15:15">
      <c r="O3652"/>
    </row>
    <row r="3653" spans="15:15">
      <c r="O3653"/>
    </row>
    <row r="3654" spans="15:15">
      <c r="O3654"/>
    </row>
    <row r="3655" spans="15:15">
      <c r="O3655"/>
    </row>
    <row r="3656" spans="15:15">
      <c r="O3656"/>
    </row>
    <row r="3657" spans="15:15">
      <c r="O3657"/>
    </row>
    <row r="3658" spans="15:15">
      <c r="O3658"/>
    </row>
    <row r="3659" spans="15:15">
      <c r="O3659"/>
    </row>
    <row r="3660" spans="15:15">
      <c r="O3660"/>
    </row>
    <row r="3661" spans="15:15">
      <c r="O3661"/>
    </row>
    <row r="3662" spans="15:15">
      <c r="O3662"/>
    </row>
    <row r="3663" spans="15:15">
      <c r="O3663"/>
    </row>
    <row r="3664" spans="15:15">
      <c r="O3664"/>
    </row>
    <row r="3665" spans="15:15">
      <c r="O3665"/>
    </row>
    <row r="3666" spans="15:15">
      <c r="O3666"/>
    </row>
    <row r="3667" spans="15:15">
      <c r="O3667"/>
    </row>
    <row r="3668" spans="15:15">
      <c r="O3668"/>
    </row>
    <row r="3669" spans="15:15">
      <c r="O3669"/>
    </row>
    <row r="3670" spans="15:15">
      <c r="O3670"/>
    </row>
    <row r="3671" spans="15:15">
      <c r="O3671"/>
    </row>
    <row r="3672" spans="15:15">
      <c r="O3672"/>
    </row>
    <row r="3673" spans="15:15">
      <c r="O3673"/>
    </row>
    <row r="3674" spans="15:15">
      <c r="O3674"/>
    </row>
    <row r="3675" spans="15:15">
      <c r="O3675"/>
    </row>
    <row r="3676" spans="15:15">
      <c r="O3676"/>
    </row>
    <row r="3677" spans="15:15">
      <c r="O3677"/>
    </row>
    <row r="3678" spans="15:15">
      <c r="O3678"/>
    </row>
    <row r="3679" spans="15:15">
      <c r="O3679"/>
    </row>
    <row r="3680" spans="15:15">
      <c r="O3680"/>
    </row>
    <row r="3681" spans="15:15">
      <c r="O3681"/>
    </row>
    <row r="3682" spans="15:15">
      <c r="O3682"/>
    </row>
    <row r="3683" spans="15:15">
      <c r="O3683"/>
    </row>
    <row r="3684" spans="15:15">
      <c r="O3684"/>
    </row>
    <row r="3685" spans="15:15">
      <c r="O3685"/>
    </row>
    <row r="3686" spans="15:15">
      <c r="O3686"/>
    </row>
    <row r="3687" spans="15:15">
      <c r="O3687"/>
    </row>
    <row r="3688" spans="15:15">
      <c r="O3688"/>
    </row>
    <row r="3689" spans="15:15">
      <c r="O3689"/>
    </row>
    <row r="3690" spans="15:15">
      <c r="O3690"/>
    </row>
    <row r="3691" spans="15:15">
      <c r="O3691"/>
    </row>
    <row r="3692" spans="15:15">
      <c r="O3692"/>
    </row>
    <row r="3693" spans="15:15">
      <c r="O3693"/>
    </row>
    <row r="3694" spans="15:15">
      <c r="O3694"/>
    </row>
    <row r="3695" spans="15:15">
      <c r="O3695"/>
    </row>
    <row r="3696" spans="15:15">
      <c r="O3696"/>
    </row>
    <row r="3697" spans="15:15">
      <c r="O3697"/>
    </row>
    <row r="3698" spans="15:15">
      <c r="O3698"/>
    </row>
    <row r="3699" spans="15:15">
      <c r="O3699"/>
    </row>
    <row r="3700" spans="15:15">
      <c r="O3700"/>
    </row>
    <row r="3701" spans="15:15">
      <c r="O3701"/>
    </row>
    <row r="3702" spans="15:15">
      <c r="O3702"/>
    </row>
    <row r="3703" spans="15:15">
      <c r="O3703"/>
    </row>
    <row r="3704" spans="15:15">
      <c r="O3704"/>
    </row>
    <row r="3705" spans="15:15">
      <c r="O3705"/>
    </row>
    <row r="3706" spans="15:15">
      <c r="O3706"/>
    </row>
    <row r="3707" spans="15:15">
      <c r="O3707"/>
    </row>
    <row r="3708" spans="15:15">
      <c r="O3708"/>
    </row>
    <row r="3709" spans="15:15">
      <c r="O3709"/>
    </row>
    <row r="3710" spans="15:15">
      <c r="O3710"/>
    </row>
    <row r="3711" spans="15:15">
      <c r="O3711"/>
    </row>
    <row r="3712" spans="15:15">
      <c r="O3712"/>
    </row>
    <row r="3713" spans="15:15">
      <c r="O3713"/>
    </row>
    <row r="3714" spans="15:15">
      <c r="O3714"/>
    </row>
    <row r="3715" spans="15:15">
      <c r="O3715"/>
    </row>
    <row r="3716" spans="15:15">
      <c r="O3716"/>
    </row>
    <row r="3717" spans="15:15">
      <c r="O3717"/>
    </row>
    <row r="3718" spans="15:15">
      <c r="O3718"/>
    </row>
    <row r="3719" spans="15:15">
      <c r="O3719"/>
    </row>
    <row r="3720" spans="15:15">
      <c r="O3720"/>
    </row>
    <row r="3721" spans="15:15">
      <c r="O3721"/>
    </row>
    <row r="3722" spans="15:15">
      <c r="O3722"/>
    </row>
    <row r="3723" spans="15:15">
      <c r="O3723"/>
    </row>
    <row r="3724" spans="15:15">
      <c r="O3724"/>
    </row>
    <row r="3725" spans="15:15">
      <c r="O3725"/>
    </row>
    <row r="3726" spans="15:15">
      <c r="O3726"/>
    </row>
    <row r="3727" spans="15:15">
      <c r="O3727"/>
    </row>
    <row r="3728" spans="15:15">
      <c r="O3728"/>
    </row>
    <row r="3729" spans="15:15">
      <c r="O3729"/>
    </row>
    <row r="3730" spans="15:15">
      <c r="O3730"/>
    </row>
    <row r="3731" spans="15:15">
      <c r="O3731"/>
    </row>
    <row r="3732" spans="15:15">
      <c r="O3732"/>
    </row>
    <row r="3733" spans="15:15">
      <c r="O3733"/>
    </row>
    <row r="3734" spans="15:15">
      <c r="O3734"/>
    </row>
    <row r="3735" spans="15:15">
      <c r="O3735"/>
    </row>
    <row r="3736" spans="15:15">
      <c r="O3736"/>
    </row>
    <row r="3737" spans="15:15">
      <c r="O3737"/>
    </row>
    <row r="3738" spans="15:15">
      <c r="O3738"/>
    </row>
    <row r="3739" spans="15:15">
      <c r="O3739"/>
    </row>
    <row r="3740" spans="15:15">
      <c r="O3740"/>
    </row>
    <row r="3741" spans="15:15">
      <c r="O3741"/>
    </row>
    <row r="3742" spans="15:15">
      <c r="O3742"/>
    </row>
    <row r="3743" spans="15:15">
      <c r="O3743"/>
    </row>
    <row r="3744" spans="15:15">
      <c r="O3744"/>
    </row>
    <row r="3745" spans="15:15">
      <c r="O3745"/>
    </row>
    <row r="3746" spans="15:15">
      <c r="O3746"/>
    </row>
    <row r="3747" spans="15:15">
      <c r="O3747"/>
    </row>
    <row r="3748" spans="15:15">
      <c r="O3748"/>
    </row>
    <row r="3749" spans="15:15">
      <c r="O3749"/>
    </row>
    <row r="3750" spans="15:15">
      <c r="O3750"/>
    </row>
    <row r="3751" spans="15:15">
      <c r="O3751"/>
    </row>
    <row r="3752" spans="15:15">
      <c r="O3752"/>
    </row>
    <row r="3753" spans="15:15">
      <c r="O3753"/>
    </row>
    <row r="3754" spans="15:15">
      <c r="O3754"/>
    </row>
    <row r="3755" spans="15:15">
      <c r="O3755"/>
    </row>
    <row r="3756" spans="15:15">
      <c r="O3756"/>
    </row>
    <row r="3757" spans="15:15">
      <c r="O3757"/>
    </row>
    <row r="3758" spans="15:15">
      <c r="O3758"/>
    </row>
    <row r="3759" spans="15:15">
      <c r="O3759"/>
    </row>
    <row r="3760" spans="15:15">
      <c r="O3760"/>
    </row>
    <row r="3761" spans="15:15">
      <c r="O3761"/>
    </row>
    <row r="3762" spans="15:15">
      <c r="O3762"/>
    </row>
    <row r="3763" spans="15:15">
      <c r="O3763"/>
    </row>
    <row r="3764" spans="15:15">
      <c r="O3764"/>
    </row>
    <row r="3765" spans="15:15">
      <c r="O3765"/>
    </row>
    <row r="3766" spans="15:15">
      <c r="O3766"/>
    </row>
    <row r="3767" spans="15:15">
      <c r="O3767"/>
    </row>
    <row r="3768" spans="15:15">
      <c r="O3768"/>
    </row>
    <row r="3769" spans="15:15">
      <c r="O3769"/>
    </row>
    <row r="3770" spans="15:15">
      <c r="O3770"/>
    </row>
    <row r="3771" spans="15:15">
      <c r="O3771"/>
    </row>
    <row r="3772" spans="15:15">
      <c r="O3772"/>
    </row>
    <row r="3773" spans="15:15">
      <c r="O3773"/>
    </row>
    <row r="3774" spans="15:15">
      <c r="O3774"/>
    </row>
    <row r="3775" spans="15:15">
      <c r="O3775"/>
    </row>
    <row r="3776" spans="15:15">
      <c r="O3776"/>
    </row>
    <row r="3777" spans="15:15">
      <c r="O3777"/>
    </row>
    <row r="3778" spans="15:15">
      <c r="O3778"/>
    </row>
    <row r="3779" spans="15:15">
      <c r="O3779"/>
    </row>
    <row r="3780" spans="15:15">
      <c r="O3780"/>
    </row>
    <row r="3781" spans="15:15">
      <c r="O3781"/>
    </row>
    <row r="3782" spans="15:15">
      <c r="O3782"/>
    </row>
    <row r="3783" spans="15:15">
      <c r="O3783"/>
    </row>
    <row r="3784" spans="15:15">
      <c r="O3784"/>
    </row>
    <row r="3785" spans="15:15">
      <c r="O3785"/>
    </row>
    <row r="3786" spans="15:15">
      <c r="O3786"/>
    </row>
    <row r="3787" spans="15:15">
      <c r="O3787"/>
    </row>
    <row r="3788" spans="15:15">
      <c r="O3788"/>
    </row>
    <row r="3789" spans="15:15">
      <c r="O3789"/>
    </row>
    <row r="3790" spans="15:15">
      <c r="O3790"/>
    </row>
    <row r="3791" spans="15:15">
      <c r="O3791"/>
    </row>
    <row r="3792" spans="15:15">
      <c r="O3792"/>
    </row>
    <row r="3793" spans="15:15">
      <c r="O3793"/>
    </row>
    <row r="3794" spans="15:15">
      <c r="O3794"/>
    </row>
    <row r="3795" spans="15:15">
      <c r="O3795"/>
    </row>
    <row r="3796" spans="15:15">
      <c r="O3796"/>
    </row>
    <row r="3797" spans="15:15">
      <c r="O3797"/>
    </row>
    <row r="3798" spans="15:15">
      <c r="O3798"/>
    </row>
    <row r="3799" spans="15:15">
      <c r="O3799"/>
    </row>
    <row r="3800" spans="15:15">
      <c r="O3800"/>
    </row>
    <row r="3801" spans="15:15">
      <c r="O3801"/>
    </row>
    <row r="3802" spans="15:15">
      <c r="O3802"/>
    </row>
    <row r="3803" spans="15:15">
      <c r="O3803"/>
    </row>
    <row r="3804" spans="15:15">
      <c r="O3804"/>
    </row>
    <row r="3805" spans="15:15">
      <c r="O3805"/>
    </row>
    <row r="3806" spans="15:15">
      <c r="O3806"/>
    </row>
    <row r="3807" spans="15:15">
      <c r="O3807"/>
    </row>
    <row r="3808" spans="15:15">
      <c r="O3808"/>
    </row>
    <row r="3809" spans="15:15">
      <c r="O3809"/>
    </row>
    <row r="3810" spans="15:15">
      <c r="O3810"/>
    </row>
    <row r="3811" spans="15:15">
      <c r="O3811"/>
    </row>
    <row r="3812" spans="15:15">
      <c r="O3812"/>
    </row>
    <row r="3813" spans="15:15">
      <c r="O3813"/>
    </row>
    <row r="3814" spans="15:15">
      <c r="O3814"/>
    </row>
    <row r="3815" spans="15:15">
      <c r="O3815"/>
    </row>
    <row r="3816" spans="15:15">
      <c r="O3816"/>
    </row>
    <row r="3817" spans="15:15">
      <c r="O3817"/>
    </row>
    <row r="3818" spans="15:15">
      <c r="O3818"/>
    </row>
    <row r="3819" spans="15:15">
      <c r="O3819"/>
    </row>
    <row r="3820" spans="15:15">
      <c r="O3820"/>
    </row>
    <row r="3821" spans="15:15">
      <c r="O3821"/>
    </row>
    <row r="3822" spans="15:15">
      <c r="O3822"/>
    </row>
    <row r="3823" spans="15:15">
      <c r="O3823"/>
    </row>
    <row r="3824" spans="15:15">
      <c r="O3824"/>
    </row>
    <row r="3825" spans="15:15">
      <c r="O3825"/>
    </row>
    <row r="3826" spans="15:15">
      <c r="O3826"/>
    </row>
    <row r="3827" spans="15:15">
      <c r="O3827"/>
    </row>
    <row r="3828" spans="15:15">
      <c r="O3828"/>
    </row>
    <row r="3829" spans="15:15">
      <c r="O3829"/>
    </row>
    <row r="3830" spans="15:15">
      <c r="O3830"/>
    </row>
    <row r="3831" spans="15:15">
      <c r="O3831"/>
    </row>
    <row r="3832" spans="15:15">
      <c r="O3832"/>
    </row>
    <row r="3833" spans="15:15">
      <c r="O3833"/>
    </row>
    <row r="3834" spans="15:15">
      <c r="O3834"/>
    </row>
    <row r="3835" spans="15:15">
      <c r="O3835"/>
    </row>
    <row r="3836" spans="15:15">
      <c r="O3836"/>
    </row>
    <row r="3837" spans="15:15">
      <c r="O3837"/>
    </row>
    <row r="3838" spans="15:15">
      <c r="O3838"/>
    </row>
    <row r="3839" spans="15:15">
      <c r="O3839"/>
    </row>
    <row r="3840" spans="15:15">
      <c r="O3840"/>
    </row>
    <row r="3841" spans="15:15">
      <c r="O3841"/>
    </row>
    <row r="3842" spans="15:15">
      <c r="O3842"/>
    </row>
    <row r="3843" spans="15:15">
      <c r="O3843"/>
    </row>
    <row r="3844" spans="15:15">
      <c r="O3844"/>
    </row>
    <row r="3845" spans="15:15">
      <c r="O3845"/>
    </row>
    <row r="3846" spans="15:15">
      <c r="O3846"/>
    </row>
    <row r="3847" spans="15:15">
      <c r="O3847"/>
    </row>
    <row r="3848" spans="15:15">
      <c r="O3848"/>
    </row>
    <row r="3849" spans="15:15">
      <c r="O3849"/>
    </row>
    <row r="3850" spans="15:15">
      <c r="O3850"/>
    </row>
    <row r="3851" spans="15:15">
      <c r="O3851"/>
    </row>
    <row r="3852" spans="15:15">
      <c r="O3852"/>
    </row>
    <row r="3853" spans="15:15">
      <c r="O3853"/>
    </row>
    <row r="3854" spans="15:15">
      <c r="O3854"/>
    </row>
    <row r="3855" spans="15:15">
      <c r="O3855"/>
    </row>
    <row r="3856" spans="15:15">
      <c r="O3856"/>
    </row>
    <row r="3857" spans="15:15">
      <c r="O3857"/>
    </row>
    <row r="3858" spans="15:15">
      <c r="O3858"/>
    </row>
    <row r="3859" spans="15:15">
      <c r="O3859"/>
    </row>
    <row r="3860" spans="15:15">
      <c r="O3860"/>
    </row>
    <row r="3861" spans="15:15">
      <c r="O3861"/>
    </row>
    <row r="3862" spans="15:15">
      <c r="O3862"/>
    </row>
    <row r="3863" spans="15:15">
      <c r="O3863"/>
    </row>
    <row r="3864" spans="15:15">
      <c r="O3864"/>
    </row>
    <row r="3865" spans="15:15">
      <c r="O3865"/>
    </row>
    <row r="3866" spans="15:15">
      <c r="O3866"/>
    </row>
    <row r="3867" spans="15:15">
      <c r="O3867"/>
    </row>
    <row r="3868" spans="15:15">
      <c r="O3868"/>
    </row>
    <row r="3869" spans="15:15">
      <c r="O3869"/>
    </row>
    <row r="3870" spans="15:15">
      <c r="O3870"/>
    </row>
    <row r="3871" spans="15:15">
      <c r="O3871"/>
    </row>
    <row r="3872" spans="15:15">
      <c r="O3872"/>
    </row>
    <row r="3873" spans="15:15">
      <c r="O3873"/>
    </row>
    <row r="3874" spans="15:15">
      <c r="O3874"/>
    </row>
    <row r="3875" spans="15:15">
      <c r="O3875"/>
    </row>
    <row r="3876" spans="15:15">
      <c r="O3876"/>
    </row>
    <row r="3877" spans="15:15">
      <c r="O3877"/>
    </row>
    <row r="3878" spans="15:15">
      <c r="O3878"/>
    </row>
    <row r="3879" spans="15:15">
      <c r="O3879"/>
    </row>
    <row r="3880" spans="15:15">
      <c r="O3880"/>
    </row>
    <row r="3881" spans="15:15">
      <c r="O3881"/>
    </row>
    <row r="3882" spans="15:15">
      <c r="O3882"/>
    </row>
    <row r="3883" spans="15:15">
      <c r="O3883"/>
    </row>
    <row r="3884" spans="15:15">
      <c r="O3884"/>
    </row>
    <row r="3885" spans="15:15">
      <c r="O3885"/>
    </row>
    <row r="3886" spans="15:15">
      <c r="O3886"/>
    </row>
    <row r="3887" spans="15:15">
      <c r="O3887"/>
    </row>
    <row r="3888" spans="15:15">
      <c r="O3888"/>
    </row>
    <row r="3889" spans="15:15">
      <c r="O3889"/>
    </row>
    <row r="3890" spans="15:15">
      <c r="O3890"/>
    </row>
    <row r="3891" spans="15:15">
      <c r="O3891"/>
    </row>
    <row r="3892" spans="15:15">
      <c r="O3892"/>
    </row>
    <row r="3893" spans="15:15">
      <c r="O3893"/>
    </row>
    <row r="3894" spans="15:15">
      <c r="O3894"/>
    </row>
    <row r="3895" spans="15:15">
      <c r="O3895"/>
    </row>
    <row r="3896" spans="15:15">
      <c r="O3896"/>
    </row>
    <row r="3897" spans="15:15">
      <c r="O3897"/>
    </row>
    <row r="3898" spans="15:15">
      <c r="O3898"/>
    </row>
    <row r="3899" spans="15:15">
      <c r="O3899"/>
    </row>
    <row r="3900" spans="15:15">
      <c r="O3900"/>
    </row>
    <row r="3901" spans="15:15">
      <c r="O3901"/>
    </row>
    <row r="3902" spans="15:15">
      <c r="O3902"/>
    </row>
    <row r="3903" spans="15:15">
      <c r="O3903"/>
    </row>
    <row r="3904" spans="15:15">
      <c r="O3904"/>
    </row>
    <row r="3905" spans="15:15">
      <c r="O3905"/>
    </row>
    <row r="3906" spans="15:15">
      <c r="O3906"/>
    </row>
    <row r="3907" spans="15:15">
      <c r="O3907"/>
    </row>
    <row r="3908" spans="15:15">
      <c r="O3908"/>
    </row>
    <row r="3909" spans="15:15">
      <c r="O3909"/>
    </row>
    <row r="3910" spans="15:15">
      <c r="O3910"/>
    </row>
    <row r="3911" spans="15:15">
      <c r="O3911"/>
    </row>
    <row r="3912" spans="15:15">
      <c r="O3912"/>
    </row>
    <row r="3913" spans="15:15">
      <c r="O3913"/>
    </row>
    <row r="3914" spans="15:15">
      <c r="O3914"/>
    </row>
    <row r="3915" spans="15:15">
      <c r="O3915"/>
    </row>
    <row r="3916" spans="15:15">
      <c r="O3916"/>
    </row>
    <row r="3917" spans="15:15">
      <c r="O3917"/>
    </row>
    <row r="3918" spans="15:15">
      <c r="O3918"/>
    </row>
    <row r="3919" spans="15:15">
      <c r="O3919"/>
    </row>
    <row r="3920" spans="15:15">
      <c r="O3920"/>
    </row>
    <row r="3921" spans="15:15">
      <c r="O3921"/>
    </row>
    <row r="3922" spans="15:15">
      <c r="O3922"/>
    </row>
    <row r="3923" spans="15:15">
      <c r="O3923"/>
    </row>
    <row r="3924" spans="15:15">
      <c r="O3924"/>
    </row>
    <row r="3925" spans="15:15">
      <c r="O3925"/>
    </row>
    <row r="3926" spans="15:15">
      <c r="O3926"/>
    </row>
    <row r="3927" spans="15:15">
      <c r="O3927"/>
    </row>
    <row r="3928" spans="15:15">
      <c r="O3928"/>
    </row>
    <row r="3929" spans="15:15">
      <c r="O3929"/>
    </row>
    <row r="3930" spans="15:15">
      <c r="O3930"/>
    </row>
    <row r="3931" spans="15:15">
      <c r="O3931"/>
    </row>
    <row r="3932" spans="15:15">
      <c r="O3932"/>
    </row>
    <row r="3933" spans="15:15">
      <c r="O3933"/>
    </row>
    <row r="3934" spans="15:15">
      <c r="O3934"/>
    </row>
    <row r="3935" spans="15:15">
      <c r="O3935"/>
    </row>
    <row r="3936" spans="15:15">
      <c r="O3936"/>
    </row>
    <row r="3937" spans="15:15">
      <c r="O3937"/>
    </row>
    <row r="3938" spans="15:15">
      <c r="O3938"/>
    </row>
    <row r="3939" spans="15:15">
      <c r="O3939"/>
    </row>
    <row r="3940" spans="15:15">
      <c r="O3940"/>
    </row>
    <row r="3941" spans="15:15">
      <c r="O3941"/>
    </row>
    <row r="3942" spans="15:15">
      <c r="O3942"/>
    </row>
    <row r="3943" spans="15:15">
      <c r="O3943"/>
    </row>
    <row r="3944" spans="15:15">
      <c r="O3944"/>
    </row>
    <row r="3945" spans="15:15">
      <c r="O3945"/>
    </row>
    <row r="3946" spans="15:15">
      <c r="O3946"/>
    </row>
    <row r="3947" spans="15:15">
      <c r="O3947"/>
    </row>
    <row r="3948" spans="15:15">
      <c r="O3948"/>
    </row>
    <row r="3949" spans="15:15">
      <c r="O3949"/>
    </row>
    <row r="3950" spans="15:15">
      <c r="O3950"/>
    </row>
    <row r="3951" spans="15:15">
      <c r="O3951"/>
    </row>
    <row r="3952" spans="15:15">
      <c r="O3952"/>
    </row>
    <row r="3953" spans="15:15">
      <c r="O3953"/>
    </row>
    <row r="3954" spans="15:15">
      <c r="O3954"/>
    </row>
    <row r="3955" spans="15:15">
      <c r="O3955"/>
    </row>
    <row r="3956" spans="15:15">
      <c r="O3956"/>
    </row>
    <row r="3957" spans="15:15">
      <c r="O3957"/>
    </row>
    <row r="3958" spans="15:15">
      <c r="O3958"/>
    </row>
    <row r="3959" spans="15:15">
      <c r="O3959"/>
    </row>
    <row r="3960" spans="15:15">
      <c r="O3960"/>
    </row>
    <row r="3961" spans="15:15">
      <c r="O3961"/>
    </row>
    <row r="3962" spans="15:15">
      <c r="O3962"/>
    </row>
    <row r="3963" spans="15:15">
      <c r="O3963"/>
    </row>
    <row r="3964" spans="15:15">
      <c r="O3964"/>
    </row>
    <row r="3965" spans="15:15">
      <c r="O3965"/>
    </row>
    <row r="3966" spans="15:15">
      <c r="O3966"/>
    </row>
    <row r="3967" spans="15:15">
      <c r="O3967"/>
    </row>
    <row r="3968" spans="15:15">
      <c r="O3968"/>
    </row>
    <row r="3969" spans="15:15">
      <c r="O3969"/>
    </row>
    <row r="3970" spans="15:15">
      <c r="O3970"/>
    </row>
    <row r="3971" spans="15:15">
      <c r="O3971"/>
    </row>
    <row r="3972" spans="15:15">
      <c r="O3972"/>
    </row>
    <row r="3973" spans="15:15">
      <c r="O3973"/>
    </row>
    <row r="3974" spans="15:15">
      <c r="O3974"/>
    </row>
    <row r="3975" spans="15:15">
      <c r="O3975"/>
    </row>
    <row r="3976" spans="15:15">
      <c r="O3976"/>
    </row>
    <row r="3977" spans="15:15">
      <c r="O3977"/>
    </row>
    <row r="3978" spans="15:15">
      <c r="O3978"/>
    </row>
    <row r="3979" spans="15:15">
      <c r="O3979"/>
    </row>
    <row r="3980" spans="15:15">
      <c r="O3980"/>
    </row>
    <row r="3981" spans="15:15">
      <c r="O3981"/>
    </row>
    <row r="3982" spans="15:15">
      <c r="O3982"/>
    </row>
    <row r="3983" spans="15:15">
      <c r="O3983"/>
    </row>
    <row r="3984" spans="15:15">
      <c r="O3984"/>
    </row>
    <row r="3985" spans="15:15">
      <c r="O3985"/>
    </row>
    <row r="3986" spans="15:15">
      <c r="O3986"/>
    </row>
    <row r="3987" spans="15:15">
      <c r="O3987"/>
    </row>
    <row r="3988" spans="15:15">
      <c r="O3988"/>
    </row>
    <row r="3989" spans="15:15">
      <c r="O3989"/>
    </row>
    <row r="3990" spans="15:15">
      <c r="O3990"/>
    </row>
    <row r="3991" spans="15:15">
      <c r="O3991"/>
    </row>
    <row r="3992" spans="15:15">
      <c r="O3992"/>
    </row>
    <row r="3993" spans="15:15">
      <c r="O3993"/>
    </row>
    <row r="3994" spans="15:15">
      <c r="O3994"/>
    </row>
    <row r="3995" spans="15:15">
      <c r="O3995"/>
    </row>
    <row r="3996" spans="15:15">
      <c r="O3996"/>
    </row>
    <row r="3997" spans="15:15">
      <c r="O3997"/>
    </row>
    <row r="3998" spans="15:15">
      <c r="O3998"/>
    </row>
    <row r="3999" spans="15:15">
      <c r="O3999"/>
    </row>
    <row r="4000" spans="15:15">
      <c r="O4000"/>
    </row>
    <row r="4001" spans="15:15">
      <c r="O4001"/>
    </row>
    <row r="4002" spans="15:15">
      <c r="O4002"/>
    </row>
    <row r="4003" spans="15:15">
      <c r="O4003"/>
    </row>
    <row r="4004" spans="15:15">
      <c r="O4004"/>
    </row>
    <row r="4005" spans="15:15">
      <c r="O4005"/>
    </row>
    <row r="4006" spans="15:15">
      <c r="O4006"/>
    </row>
    <row r="4007" spans="15:15">
      <c r="O4007"/>
    </row>
    <row r="4008" spans="15:15">
      <c r="O4008"/>
    </row>
    <row r="4009" spans="15:15">
      <c r="O4009"/>
    </row>
    <row r="4010" spans="15:15">
      <c r="O4010"/>
    </row>
    <row r="4011" spans="15:15">
      <c r="O4011"/>
    </row>
    <row r="4012" spans="15:15">
      <c r="O4012"/>
    </row>
    <row r="4013" spans="15:15">
      <c r="O4013"/>
    </row>
    <row r="4014" spans="15:15">
      <c r="O4014"/>
    </row>
    <row r="4015" spans="15:15">
      <c r="O4015"/>
    </row>
    <row r="4016" spans="15:15">
      <c r="O4016"/>
    </row>
    <row r="4017" spans="15:15">
      <c r="O4017"/>
    </row>
    <row r="4018" spans="15:15">
      <c r="O4018"/>
    </row>
    <row r="4019" spans="15:15">
      <c r="O4019"/>
    </row>
    <row r="4020" spans="15:15">
      <c r="O4020"/>
    </row>
    <row r="4021" spans="15:15">
      <c r="O4021"/>
    </row>
    <row r="4022" spans="15:15">
      <c r="O4022"/>
    </row>
    <row r="4023" spans="15:15">
      <c r="O4023"/>
    </row>
    <row r="4024" spans="15:15">
      <c r="O4024"/>
    </row>
    <row r="4025" spans="15:15">
      <c r="O4025"/>
    </row>
    <row r="4026" spans="15:15">
      <c r="O4026"/>
    </row>
    <row r="4027" spans="15:15">
      <c r="O4027"/>
    </row>
    <row r="4028" spans="15:15">
      <c r="O4028"/>
    </row>
    <row r="4029" spans="15:15">
      <c r="O4029"/>
    </row>
    <row r="4030" spans="15:15">
      <c r="O4030"/>
    </row>
    <row r="4031" spans="15:15">
      <c r="O4031"/>
    </row>
    <row r="4032" spans="15:15">
      <c r="O4032"/>
    </row>
    <row r="4033" spans="15:15">
      <c r="O4033"/>
    </row>
  </sheetData>
  <mergeCells count="8">
    <mergeCell ref="A38:D38"/>
    <mergeCell ref="A72:E72"/>
    <mergeCell ref="A1:I2"/>
    <mergeCell ref="B4:G4"/>
    <mergeCell ref="A8:D8"/>
    <mergeCell ref="A17:E17"/>
    <mergeCell ref="H17:J17"/>
    <mergeCell ref="H34:J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6E758-A1D8-46F0-B6C2-E1EF7EFF03E0}">
  <dimension ref="A1:N58"/>
  <sheetViews>
    <sheetView zoomScale="90" zoomScaleNormal="90" workbookViewId="0">
      <pane xSplit="1" ySplit="1" topLeftCell="B16" activePane="bottomRight" state="frozen"/>
      <selection pane="topRight" activeCell="B1" sqref="B1"/>
      <selection pane="bottomLeft" activeCell="A2" sqref="A2"/>
      <selection pane="bottomRight" activeCell="K32" sqref="K32"/>
    </sheetView>
  </sheetViews>
  <sheetFormatPr defaultRowHeight="14.5"/>
  <cols>
    <col min="3" max="3" width="23.81640625" bestFit="1" customWidth="1"/>
    <col min="7" max="7" width="21.1796875" bestFit="1" customWidth="1"/>
    <col min="8" max="8" width="9.1796875" bestFit="1" customWidth="1"/>
    <col min="9" max="9" width="6.54296875" customWidth="1"/>
    <col min="10" max="10" width="11.453125" bestFit="1" customWidth="1"/>
    <col min="11" max="11" width="15.81640625" bestFit="1" customWidth="1"/>
    <col min="12" max="13" width="9.81640625" bestFit="1" customWidth="1"/>
    <col min="14" max="14" width="12.26953125" bestFit="1" customWidth="1"/>
  </cols>
  <sheetData>
    <row r="1" spans="1:14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20" t="s">
        <v>13</v>
      </c>
    </row>
    <row r="2" spans="1:14">
      <c r="A2" s="9">
        <v>46204</v>
      </c>
      <c r="B2" s="9" t="str">
        <f t="shared" ref="B2" si="0">TEXT(A2,"dddd")</f>
        <v>Wednesday</v>
      </c>
      <c r="C2" s="7" t="s">
        <v>14</v>
      </c>
      <c r="D2" s="7" t="s">
        <v>15</v>
      </c>
      <c r="E2" s="7" t="s">
        <v>16</v>
      </c>
      <c r="F2" s="3">
        <v>1</v>
      </c>
      <c r="G2" s="1" t="s">
        <v>17</v>
      </c>
      <c r="H2" s="17" t="s">
        <v>18</v>
      </c>
      <c r="I2" s="6" t="s">
        <v>19</v>
      </c>
      <c r="J2" s="1" t="s">
        <v>20</v>
      </c>
      <c r="K2" s="4" t="s">
        <v>18</v>
      </c>
      <c r="L2" s="9">
        <v>46204</v>
      </c>
      <c r="M2" s="9">
        <v>46205</v>
      </c>
      <c r="N2" s="15"/>
    </row>
    <row r="3" spans="1:14">
      <c r="A3" s="9">
        <v>46204</v>
      </c>
      <c r="B3" s="9"/>
      <c r="C3" s="13" t="s">
        <v>21</v>
      </c>
      <c r="D3" s="7" t="s">
        <v>22</v>
      </c>
      <c r="E3" s="7" t="s">
        <v>23</v>
      </c>
      <c r="F3" s="3">
        <v>29</v>
      </c>
      <c r="G3" s="1" t="s">
        <v>24</v>
      </c>
      <c r="H3" s="16" t="s">
        <v>25</v>
      </c>
      <c r="I3" s="1" t="s">
        <v>19</v>
      </c>
      <c r="J3" s="1" t="s">
        <v>20</v>
      </c>
      <c r="K3" s="4" t="s">
        <v>25</v>
      </c>
      <c r="L3" s="9">
        <v>46204</v>
      </c>
      <c r="M3" s="15"/>
      <c r="N3" s="15"/>
    </row>
    <row r="4" spans="1:14">
      <c r="A4" s="9">
        <v>46204</v>
      </c>
      <c r="B4" s="9" t="str">
        <f>TEXT(A4,"dddd")</f>
        <v>Wednesday</v>
      </c>
      <c r="C4" s="7" t="s">
        <v>26</v>
      </c>
      <c r="D4" s="7" t="s">
        <v>27</v>
      </c>
      <c r="E4" s="7" t="s">
        <v>28</v>
      </c>
      <c r="F4" s="3">
        <v>10</v>
      </c>
      <c r="G4" s="1" t="s">
        <v>29</v>
      </c>
      <c r="H4" s="14" t="s">
        <v>30</v>
      </c>
      <c r="I4" s="6" t="s">
        <v>19</v>
      </c>
      <c r="J4" s="1" t="s">
        <v>20</v>
      </c>
      <c r="K4" s="4" t="s">
        <v>30</v>
      </c>
      <c r="L4" s="9">
        <v>46204</v>
      </c>
      <c r="M4" s="15"/>
      <c r="N4" s="15"/>
    </row>
    <row r="5" spans="1:14">
      <c r="A5" s="9">
        <v>46205</v>
      </c>
      <c r="B5" s="9" t="str">
        <f t="shared" ref="B5:B23" si="1">TEXT(A5,"dddd")</f>
        <v>Thursday</v>
      </c>
      <c r="C5" s="13" t="s">
        <v>21</v>
      </c>
      <c r="D5" s="7" t="s">
        <v>22</v>
      </c>
      <c r="E5" s="7" t="s">
        <v>23</v>
      </c>
      <c r="F5" s="3">
        <v>46</v>
      </c>
      <c r="G5" s="1" t="s">
        <v>24</v>
      </c>
      <c r="H5" s="16" t="s">
        <v>25</v>
      </c>
      <c r="I5" s="1" t="s">
        <v>19</v>
      </c>
      <c r="J5" s="1" t="s">
        <v>20</v>
      </c>
      <c r="K5" s="4" t="s">
        <v>25</v>
      </c>
      <c r="L5" s="9"/>
      <c r="M5" s="15"/>
      <c r="N5" s="15"/>
    </row>
    <row r="6" spans="1:14">
      <c r="A6" s="9">
        <v>46206</v>
      </c>
      <c r="B6" s="9" t="str">
        <f t="shared" si="1"/>
        <v>Friday</v>
      </c>
      <c r="C6" s="7" t="s">
        <v>26</v>
      </c>
      <c r="D6" s="7" t="s">
        <v>27</v>
      </c>
      <c r="E6" s="7" t="s">
        <v>28</v>
      </c>
      <c r="F6" s="3">
        <v>17</v>
      </c>
      <c r="G6" s="1" t="s">
        <v>29</v>
      </c>
      <c r="H6" s="14" t="s">
        <v>30</v>
      </c>
      <c r="I6" s="6" t="s">
        <v>19</v>
      </c>
      <c r="J6" s="1" t="s">
        <v>20</v>
      </c>
      <c r="K6" s="4" t="s">
        <v>30</v>
      </c>
      <c r="L6" s="9"/>
      <c r="M6" s="15"/>
      <c r="N6" s="15"/>
    </row>
    <row r="7" spans="1:14">
      <c r="A7" s="9">
        <v>46206</v>
      </c>
      <c r="B7" s="9" t="str">
        <f t="shared" si="1"/>
        <v>Friday</v>
      </c>
      <c r="C7" s="7" t="s">
        <v>26</v>
      </c>
      <c r="D7" s="7" t="s">
        <v>27</v>
      </c>
      <c r="E7" s="7" t="s">
        <v>28</v>
      </c>
      <c r="F7" s="3">
        <v>1</v>
      </c>
      <c r="G7" s="1" t="s">
        <v>29</v>
      </c>
      <c r="H7" s="14" t="s">
        <v>30</v>
      </c>
      <c r="I7" s="6" t="s">
        <v>19</v>
      </c>
      <c r="J7" s="1" t="s">
        <v>31</v>
      </c>
      <c r="K7" s="4" t="s">
        <v>30</v>
      </c>
      <c r="L7" s="9"/>
      <c r="M7" s="15"/>
      <c r="N7" s="15"/>
    </row>
    <row r="8" spans="1:14">
      <c r="A8" s="9">
        <v>46206</v>
      </c>
      <c r="B8" s="9" t="str">
        <f t="shared" si="1"/>
        <v>Friday</v>
      </c>
      <c r="C8" s="13" t="s">
        <v>21</v>
      </c>
      <c r="D8" s="7" t="s">
        <v>22</v>
      </c>
      <c r="E8" s="7" t="s">
        <v>23</v>
      </c>
      <c r="F8" s="3">
        <v>32</v>
      </c>
      <c r="G8" s="1" t="s">
        <v>24</v>
      </c>
      <c r="H8" s="16" t="s">
        <v>25</v>
      </c>
      <c r="I8" s="1" t="s">
        <v>19</v>
      </c>
      <c r="J8" s="1" t="s">
        <v>20</v>
      </c>
      <c r="K8" s="4" t="s">
        <v>25</v>
      </c>
      <c r="L8" s="9"/>
      <c r="M8" s="15"/>
      <c r="N8" s="15"/>
    </row>
    <row r="9" spans="1:14">
      <c r="A9" s="9">
        <v>46206</v>
      </c>
      <c r="B9" s="9" t="str">
        <f t="shared" si="1"/>
        <v>Friday</v>
      </c>
      <c r="C9" s="13" t="s">
        <v>21</v>
      </c>
      <c r="D9" s="7" t="s">
        <v>22</v>
      </c>
      <c r="E9" s="7" t="s">
        <v>23</v>
      </c>
      <c r="F9" s="3">
        <v>1</v>
      </c>
      <c r="G9" s="1" t="s">
        <v>24</v>
      </c>
      <c r="H9" s="16" t="s">
        <v>25</v>
      </c>
      <c r="I9" s="1" t="s">
        <v>19</v>
      </c>
      <c r="J9" s="1" t="s">
        <v>31</v>
      </c>
      <c r="K9" s="4" t="s">
        <v>25</v>
      </c>
      <c r="L9" s="9"/>
      <c r="M9" s="15"/>
      <c r="N9" s="15"/>
    </row>
    <row r="10" spans="1:14">
      <c r="A10" s="9">
        <v>46207</v>
      </c>
      <c r="B10" s="9" t="str">
        <f t="shared" si="1"/>
        <v>Saturday</v>
      </c>
      <c r="C10" s="13" t="s">
        <v>21</v>
      </c>
      <c r="D10" s="7" t="s">
        <v>22</v>
      </c>
      <c r="E10" s="7" t="s">
        <v>23</v>
      </c>
      <c r="F10" s="3">
        <v>53</v>
      </c>
      <c r="G10" s="1" t="s">
        <v>24</v>
      </c>
      <c r="H10" s="16" t="s">
        <v>25</v>
      </c>
      <c r="I10" s="1" t="s">
        <v>19</v>
      </c>
      <c r="J10" s="1" t="s">
        <v>20</v>
      </c>
      <c r="K10" s="4" t="s">
        <v>25</v>
      </c>
      <c r="L10" s="9"/>
      <c r="M10" s="15"/>
      <c r="N10" s="15"/>
    </row>
    <row r="11" spans="1:14">
      <c r="A11" s="9">
        <v>46207</v>
      </c>
      <c r="B11" s="9" t="str">
        <f t="shared" si="1"/>
        <v>Saturday</v>
      </c>
      <c r="C11" s="13" t="s">
        <v>21</v>
      </c>
      <c r="D11" s="7" t="s">
        <v>22</v>
      </c>
      <c r="E11" s="7" t="s">
        <v>23</v>
      </c>
      <c r="F11" s="3">
        <v>1</v>
      </c>
      <c r="G11" s="1" t="s">
        <v>24</v>
      </c>
      <c r="H11" s="16" t="s">
        <v>25</v>
      </c>
      <c r="I11" s="1" t="s">
        <v>19</v>
      </c>
      <c r="J11" s="1" t="s">
        <v>31</v>
      </c>
      <c r="K11" s="4" t="s">
        <v>25</v>
      </c>
      <c r="L11" s="9"/>
      <c r="M11" s="15"/>
      <c r="N11" s="15"/>
    </row>
    <row r="12" spans="1:14">
      <c r="A12" s="9">
        <v>46209</v>
      </c>
      <c r="B12" s="9" t="str">
        <f t="shared" si="1"/>
        <v>Monday</v>
      </c>
      <c r="C12" s="13" t="s">
        <v>21</v>
      </c>
      <c r="D12" s="7" t="s">
        <v>22</v>
      </c>
      <c r="E12" s="7" t="s">
        <v>23</v>
      </c>
      <c r="F12" s="3">
        <v>46</v>
      </c>
      <c r="G12" s="1" t="s">
        <v>24</v>
      </c>
      <c r="H12" s="16" t="s">
        <v>25</v>
      </c>
      <c r="I12" s="1" t="s">
        <v>19</v>
      </c>
      <c r="J12" s="1" t="s">
        <v>20</v>
      </c>
      <c r="K12" s="4" t="s">
        <v>25</v>
      </c>
      <c r="L12" s="9"/>
      <c r="M12" s="15"/>
      <c r="N12" s="15"/>
    </row>
    <row r="13" spans="1:14">
      <c r="A13" s="9">
        <v>46210</v>
      </c>
      <c r="B13" s="9" t="str">
        <f t="shared" si="1"/>
        <v>Tuesday</v>
      </c>
      <c r="C13" s="13" t="s">
        <v>21</v>
      </c>
      <c r="D13" s="7" t="s">
        <v>22</v>
      </c>
      <c r="E13" s="7" t="s">
        <v>23</v>
      </c>
      <c r="F13" s="3">
        <v>16</v>
      </c>
      <c r="G13" s="1" t="s">
        <v>24</v>
      </c>
      <c r="H13" s="16" t="s">
        <v>25</v>
      </c>
      <c r="I13" s="1" t="s">
        <v>19</v>
      </c>
      <c r="J13" s="1" t="s">
        <v>20</v>
      </c>
      <c r="K13" s="4" t="s">
        <v>25</v>
      </c>
      <c r="L13" s="9"/>
      <c r="M13" s="9">
        <v>46213</v>
      </c>
      <c r="N13" s="15"/>
    </row>
    <row r="14" spans="1:14">
      <c r="A14" s="9">
        <v>46210</v>
      </c>
      <c r="B14" s="9" t="str">
        <f t="shared" si="1"/>
        <v>Tuesday</v>
      </c>
      <c r="C14" s="7" t="s">
        <v>26</v>
      </c>
      <c r="D14" s="7" t="s">
        <v>27</v>
      </c>
      <c r="E14" s="7" t="s">
        <v>28</v>
      </c>
      <c r="F14" s="3">
        <v>10</v>
      </c>
      <c r="G14" s="1" t="s">
        <v>32</v>
      </c>
      <c r="H14" s="14" t="s">
        <v>30</v>
      </c>
      <c r="I14" s="6" t="s">
        <v>19</v>
      </c>
      <c r="J14" s="1" t="s">
        <v>20</v>
      </c>
      <c r="K14" s="4" t="s">
        <v>30</v>
      </c>
      <c r="L14" s="9"/>
      <c r="M14" s="15"/>
      <c r="N14" s="15"/>
    </row>
    <row r="15" spans="1:14">
      <c r="A15" s="9">
        <v>46210</v>
      </c>
      <c r="B15" s="9" t="str">
        <f t="shared" si="1"/>
        <v>Tuesday</v>
      </c>
      <c r="C15" s="7" t="s">
        <v>33</v>
      </c>
      <c r="D15" s="13" t="s">
        <v>34</v>
      </c>
      <c r="E15" s="13" t="s">
        <v>35</v>
      </c>
      <c r="F15" s="3">
        <v>10</v>
      </c>
      <c r="G15" s="1" t="s">
        <v>36</v>
      </c>
      <c r="H15" s="16" t="s">
        <v>37</v>
      </c>
      <c r="I15" s="6" t="s">
        <v>38</v>
      </c>
      <c r="J15" s="1" t="s">
        <v>31</v>
      </c>
      <c r="K15" s="4" t="s">
        <v>37</v>
      </c>
      <c r="L15" s="9">
        <v>46209</v>
      </c>
      <c r="M15" s="15"/>
      <c r="N15" s="15"/>
    </row>
    <row r="16" spans="1:14">
      <c r="A16" s="9">
        <v>46210</v>
      </c>
      <c r="B16" s="9" t="str">
        <f t="shared" si="1"/>
        <v>Tuesday</v>
      </c>
      <c r="C16" s="7" t="s">
        <v>33</v>
      </c>
      <c r="D16" s="13" t="s">
        <v>34</v>
      </c>
      <c r="E16" s="13" t="s">
        <v>35</v>
      </c>
      <c r="F16" s="3">
        <v>2</v>
      </c>
      <c r="G16" s="1" t="s">
        <v>36</v>
      </c>
      <c r="H16" s="16" t="s">
        <v>37</v>
      </c>
      <c r="I16" s="6" t="s">
        <v>19</v>
      </c>
      <c r="J16" s="1" t="s">
        <v>31</v>
      </c>
      <c r="K16" s="4" t="s">
        <v>37</v>
      </c>
      <c r="L16" s="9"/>
      <c r="M16" s="15"/>
      <c r="N16" s="15"/>
    </row>
    <row r="17" spans="1:14">
      <c r="A17" s="9">
        <v>46211</v>
      </c>
      <c r="B17" s="9" t="str">
        <f t="shared" si="1"/>
        <v>Wednesday</v>
      </c>
      <c r="C17" s="7" t="s">
        <v>26</v>
      </c>
      <c r="D17" s="7" t="s">
        <v>27</v>
      </c>
      <c r="E17" s="7" t="s">
        <v>28</v>
      </c>
      <c r="F17" s="3">
        <v>12</v>
      </c>
      <c r="G17" s="1" t="s">
        <v>32</v>
      </c>
      <c r="H17" s="14" t="s">
        <v>30</v>
      </c>
      <c r="I17" s="6" t="s">
        <v>19</v>
      </c>
      <c r="J17" s="1" t="s">
        <v>20</v>
      </c>
      <c r="K17" s="4" t="s">
        <v>30</v>
      </c>
      <c r="L17" s="9"/>
      <c r="M17" s="15"/>
      <c r="N17" s="15"/>
    </row>
    <row r="18" spans="1:14">
      <c r="A18" s="9">
        <v>46212</v>
      </c>
      <c r="B18" s="9" t="str">
        <f t="shared" si="1"/>
        <v>Thursday</v>
      </c>
      <c r="C18" s="7" t="s">
        <v>39</v>
      </c>
      <c r="D18" s="7" t="s">
        <v>40</v>
      </c>
      <c r="E18" s="7" t="s">
        <v>41</v>
      </c>
      <c r="F18" s="3">
        <v>3</v>
      </c>
      <c r="G18" s="1" t="s">
        <v>17</v>
      </c>
      <c r="H18" s="16" t="s">
        <v>42</v>
      </c>
      <c r="I18" s="6" t="s">
        <v>19</v>
      </c>
      <c r="J18" s="1" t="s">
        <v>20</v>
      </c>
      <c r="K18" s="28" t="s">
        <v>42</v>
      </c>
      <c r="L18" s="9">
        <v>46212</v>
      </c>
      <c r="M18" s="9">
        <v>46212</v>
      </c>
      <c r="N18" s="15"/>
    </row>
    <row r="19" spans="1:14">
      <c r="A19" s="9">
        <v>46212</v>
      </c>
      <c r="B19" s="9" t="str">
        <f t="shared" si="1"/>
        <v>Thursday</v>
      </c>
      <c r="C19" s="7" t="s">
        <v>43</v>
      </c>
      <c r="D19" s="7" t="s">
        <v>44</v>
      </c>
      <c r="E19" s="7" t="s">
        <v>35</v>
      </c>
      <c r="F19" s="3">
        <v>7</v>
      </c>
      <c r="G19" s="1" t="s">
        <v>36</v>
      </c>
      <c r="H19" s="10" t="s">
        <v>45</v>
      </c>
      <c r="I19" s="6" t="s">
        <v>19</v>
      </c>
      <c r="J19" s="1" t="s">
        <v>20</v>
      </c>
      <c r="K19" s="27" t="s">
        <v>45</v>
      </c>
      <c r="L19" s="15"/>
      <c r="M19" s="15"/>
      <c r="N19" s="15"/>
    </row>
    <row r="20" spans="1:14">
      <c r="A20" s="9">
        <v>46212</v>
      </c>
      <c r="B20" s="9" t="str">
        <f t="shared" si="1"/>
        <v>Thursday</v>
      </c>
      <c r="C20" s="7" t="s">
        <v>46</v>
      </c>
      <c r="D20" s="31" t="s">
        <v>47</v>
      </c>
      <c r="E20" s="31" t="s">
        <v>48</v>
      </c>
      <c r="F20" s="3">
        <v>1</v>
      </c>
      <c r="G20" s="1" t="s">
        <v>49</v>
      </c>
      <c r="H20" s="32" t="s">
        <v>50</v>
      </c>
      <c r="I20" s="6" t="s">
        <v>19</v>
      </c>
      <c r="J20" s="1" t="s">
        <v>51</v>
      </c>
      <c r="K20" s="4" t="s">
        <v>50</v>
      </c>
      <c r="L20" s="15"/>
      <c r="M20" s="15"/>
      <c r="N20" s="15"/>
    </row>
    <row r="21" spans="1:14">
      <c r="A21" s="9">
        <v>46213</v>
      </c>
      <c r="B21" s="9" t="str">
        <f t="shared" si="1"/>
        <v>Friday</v>
      </c>
      <c r="C21" s="7" t="s">
        <v>52</v>
      </c>
      <c r="D21" s="7" t="s">
        <v>53</v>
      </c>
      <c r="E21" s="7" t="s">
        <v>35</v>
      </c>
      <c r="F21" s="3">
        <v>22</v>
      </c>
      <c r="G21" s="1" t="s">
        <v>49</v>
      </c>
      <c r="H21" s="16" t="s">
        <v>54</v>
      </c>
      <c r="I21" s="6" t="s">
        <v>19</v>
      </c>
      <c r="J21" s="1" t="s">
        <v>31</v>
      </c>
      <c r="K21" s="28" t="s">
        <v>54</v>
      </c>
      <c r="L21" s="15"/>
      <c r="M21" s="15"/>
      <c r="N21" s="15"/>
    </row>
    <row r="22" spans="1:14">
      <c r="A22" s="9">
        <v>46213</v>
      </c>
      <c r="B22" s="9" t="str">
        <f t="shared" si="1"/>
        <v>Friday</v>
      </c>
      <c r="C22" s="7" t="s">
        <v>52</v>
      </c>
      <c r="D22" s="7" t="s">
        <v>44</v>
      </c>
      <c r="E22" s="13" t="s">
        <v>35</v>
      </c>
      <c r="F22" s="3">
        <v>1</v>
      </c>
      <c r="G22" s="1" t="s">
        <v>49</v>
      </c>
      <c r="H22" s="14" t="s">
        <v>55</v>
      </c>
      <c r="I22" s="6" t="s">
        <v>19</v>
      </c>
      <c r="J22" s="1" t="s">
        <v>51</v>
      </c>
      <c r="K22" s="4" t="s">
        <v>55</v>
      </c>
      <c r="L22" s="15"/>
      <c r="M22" s="15"/>
      <c r="N22" s="15"/>
    </row>
    <row r="23" spans="1:14">
      <c r="A23" s="9">
        <v>46214</v>
      </c>
      <c r="B23" s="9" t="str">
        <f t="shared" si="1"/>
        <v>Saturday</v>
      </c>
      <c r="C23" s="7" t="s">
        <v>26</v>
      </c>
      <c r="D23" s="7" t="s">
        <v>27</v>
      </c>
      <c r="E23" s="7" t="s">
        <v>28</v>
      </c>
      <c r="F23" s="3">
        <v>29</v>
      </c>
      <c r="G23" s="1" t="s">
        <v>32</v>
      </c>
      <c r="H23" s="14" t="s">
        <v>30</v>
      </c>
      <c r="I23" s="6" t="s">
        <v>19</v>
      </c>
      <c r="J23" s="1" t="s">
        <v>20</v>
      </c>
      <c r="K23" s="4" t="s">
        <v>30</v>
      </c>
      <c r="L23" s="9"/>
      <c r="M23" s="15"/>
      <c r="N23" s="15"/>
    </row>
    <row r="24" spans="1:14">
      <c r="A24" s="9">
        <v>46214</v>
      </c>
      <c r="B24" s="9" t="str">
        <f t="shared" ref="B24:B27" si="2">TEXT(A24,"dddd")</f>
        <v>Saturday</v>
      </c>
      <c r="C24" s="7" t="s">
        <v>26</v>
      </c>
      <c r="D24" s="7" t="s">
        <v>27</v>
      </c>
      <c r="E24" s="7" t="s">
        <v>28</v>
      </c>
      <c r="F24" s="3">
        <v>1</v>
      </c>
      <c r="G24" s="1" t="s">
        <v>32</v>
      </c>
      <c r="H24" s="14" t="s">
        <v>30</v>
      </c>
      <c r="I24" s="6" t="s">
        <v>19</v>
      </c>
      <c r="J24" s="1" t="s">
        <v>31</v>
      </c>
      <c r="K24" s="4" t="s">
        <v>30</v>
      </c>
      <c r="L24" s="9"/>
      <c r="M24" s="15"/>
      <c r="N24" s="15"/>
    </row>
    <row r="25" spans="1:14">
      <c r="A25" s="9">
        <v>46214</v>
      </c>
      <c r="B25" s="9" t="str">
        <f t="shared" si="2"/>
        <v>Saturday</v>
      </c>
      <c r="C25" s="7" t="s">
        <v>52</v>
      </c>
      <c r="D25" s="7" t="s">
        <v>44</v>
      </c>
      <c r="E25" s="13" t="s">
        <v>35</v>
      </c>
      <c r="F25" s="3">
        <v>8</v>
      </c>
      <c r="G25" s="1" t="s">
        <v>36</v>
      </c>
      <c r="H25" s="10" t="s">
        <v>56</v>
      </c>
      <c r="I25" s="6" t="s">
        <v>19</v>
      </c>
      <c r="J25" s="1" t="s">
        <v>31</v>
      </c>
      <c r="K25" s="4" t="s">
        <v>56</v>
      </c>
      <c r="L25" s="15"/>
      <c r="M25" s="9">
        <v>46215</v>
      </c>
      <c r="N25" s="15"/>
    </row>
    <row r="26" spans="1:14">
      <c r="A26" s="9">
        <v>46216</v>
      </c>
      <c r="B26" s="9" t="str">
        <f t="shared" si="2"/>
        <v>Monday</v>
      </c>
      <c r="C26" s="8" t="s">
        <v>46</v>
      </c>
      <c r="D26" s="8" t="s">
        <v>57</v>
      </c>
      <c r="E26" s="8" t="s">
        <v>58</v>
      </c>
      <c r="F26" s="8">
        <v>1</v>
      </c>
      <c r="G26" s="1" t="s">
        <v>49</v>
      </c>
      <c r="H26" s="10" t="s">
        <v>59</v>
      </c>
      <c r="I26" s="6" t="s">
        <v>19</v>
      </c>
      <c r="J26" s="1" t="s">
        <v>51</v>
      </c>
      <c r="K26" s="4" t="s">
        <v>59</v>
      </c>
      <c r="L26" s="15"/>
      <c r="M26" s="15"/>
      <c r="N26" s="15"/>
    </row>
    <row r="27" spans="1:14">
      <c r="A27" s="9">
        <v>46216</v>
      </c>
      <c r="B27" s="9" t="str">
        <f t="shared" si="2"/>
        <v>Monday</v>
      </c>
      <c r="C27" s="8" t="s">
        <v>46</v>
      </c>
      <c r="D27" s="33" t="s">
        <v>60</v>
      </c>
      <c r="E27" s="34" t="s">
        <v>48</v>
      </c>
      <c r="F27" s="3">
        <v>2</v>
      </c>
      <c r="G27" s="1" t="s">
        <v>49</v>
      </c>
      <c r="H27" s="10" t="s">
        <v>61</v>
      </c>
      <c r="I27" s="6" t="s">
        <v>19</v>
      </c>
      <c r="J27" s="1" t="s">
        <v>51</v>
      </c>
      <c r="K27" s="4" t="s">
        <v>61</v>
      </c>
      <c r="L27" s="15"/>
      <c r="M27" s="15"/>
      <c r="N27" s="15"/>
    </row>
    <row r="28" spans="1:14">
      <c r="A28" s="9">
        <v>46216</v>
      </c>
      <c r="B28" s="9" t="str">
        <f>TEXT(A28,"dddd")</f>
        <v>Monday</v>
      </c>
      <c r="C28" s="7" t="s">
        <v>26</v>
      </c>
      <c r="D28" s="7" t="s">
        <v>27</v>
      </c>
      <c r="E28" s="7" t="s">
        <v>28</v>
      </c>
      <c r="F28" s="3">
        <v>19</v>
      </c>
      <c r="G28" s="1" t="s">
        <v>32</v>
      </c>
      <c r="H28" s="14" t="s">
        <v>30</v>
      </c>
      <c r="I28" s="6" t="s">
        <v>19</v>
      </c>
      <c r="J28" s="1" t="s">
        <v>20</v>
      </c>
      <c r="K28" s="4" t="s">
        <v>30</v>
      </c>
      <c r="L28" s="9"/>
      <c r="M28" s="15"/>
      <c r="N28" s="15"/>
    </row>
    <row r="29" spans="1:14">
      <c r="A29" s="9">
        <v>46216</v>
      </c>
      <c r="B29" s="9" t="str">
        <f>TEXT(A29,"dddd")</f>
        <v>Monday</v>
      </c>
      <c r="C29" s="7" t="s">
        <v>52</v>
      </c>
      <c r="D29" s="7" t="s">
        <v>73</v>
      </c>
      <c r="E29" s="7" t="s">
        <v>74</v>
      </c>
      <c r="F29" s="3">
        <v>6</v>
      </c>
      <c r="G29" s="1" t="s">
        <v>17</v>
      </c>
      <c r="H29" s="14" t="s">
        <v>1155</v>
      </c>
      <c r="I29" s="6" t="s">
        <v>38</v>
      </c>
      <c r="J29" s="1" t="s">
        <v>31</v>
      </c>
      <c r="K29" s="14" t="s">
        <v>1155</v>
      </c>
      <c r="L29" s="9"/>
      <c r="M29" s="15"/>
      <c r="N29" s="15"/>
    </row>
    <row r="30" spans="1:14">
      <c r="A30" s="9">
        <v>46218</v>
      </c>
      <c r="B30" s="9" t="str">
        <f t="shared" ref="B30:B38" si="3">TEXT(A30,"dddd")</f>
        <v>Wednesday</v>
      </c>
      <c r="C30" s="7" t="s">
        <v>26</v>
      </c>
      <c r="D30" s="7" t="s">
        <v>27</v>
      </c>
      <c r="E30" s="7" t="s">
        <v>28</v>
      </c>
      <c r="F30" s="3">
        <v>30</v>
      </c>
      <c r="G30" s="1" t="s">
        <v>32</v>
      </c>
      <c r="H30" s="14" t="s">
        <v>30</v>
      </c>
      <c r="I30" s="6" t="s">
        <v>19</v>
      </c>
      <c r="J30" s="1" t="s">
        <v>20</v>
      </c>
      <c r="K30" s="4" t="s">
        <v>30</v>
      </c>
      <c r="L30" s="9"/>
      <c r="M30" s="15"/>
      <c r="N30" s="15"/>
    </row>
    <row r="31" spans="1:14">
      <c r="A31" s="9">
        <v>46219</v>
      </c>
      <c r="B31" s="9" t="str">
        <f t="shared" si="3"/>
        <v>Thursday</v>
      </c>
      <c r="C31" s="33" t="s">
        <v>62</v>
      </c>
      <c r="D31" s="8" t="s">
        <v>63</v>
      </c>
      <c r="E31" s="33" t="s">
        <v>35</v>
      </c>
      <c r="F31" s="3">
        <v>80</v>
      </c>
      <c r="G31" s="1" t="s">
        <v>49</v>
      </c>
      <c r="H31" s="10" t="s">
        <v>64</v>
      </c>
      <c r="I31" s="6" t="s">
        <v>19</v>
      </c>
      <c r="J31" s="1" t="s">
        <v>51</v>
      </c>
      <c r="K31" s="4" t="s">
        <v>64</v>
      </c>
      <c r="L31" s="9"/>
      <c r="M31" s="15"/>
      <c r="N31" s="15"/>
    </row>
    <row r="32" spans="1:14">
      <c r="A32" s="9">
        <v>46219</v>
      </c>
      <c r="B32" s="9" t="str">
        <f t="shared" si="3"/>
        <v>Thursday</v>
      </c>
      <c r="C32" s="8" t="s">
        <v>65</v>
      </c>
      <c r="D32" s="8" t="s">
        <v>44</v>
      </c>
      <c r="E32" s="8" t="s">
        <v>35</v>
      </c>
      <c r="F32" s="8">
        <v>1</v>
      </c>
      <c r="G32" s="1" t="s">
        <v>49</v>
      </c>
      <c r="H32" s="17" t="s">
        <v>66</v>
      </c>
      <c r="I32" s="6" t="s">
        <v>19</v>
      </c>
      <c r="J32" s="1" t="s">
        <v>51</v>
      </c>
      <c r="K32" s="4" t="s">
        <v>66</v>
      </c>
      <c r="L32" s="9"/>
      <c r="M32" s="15"/>
      <c r="N32" s="15"/>
    </row>
    <row r="33" spans="1:14">
      <c r="A33" s="9">
        <v>46219</v>
      </c>
      <c r="B33" s="9" t="str">
        <f t="shared" si="3"/>
        <v>Thursday</v>
      </c>
      <c r="C33" s="7" t="s">
        <v>26</v>
      </c>
      <c r="D33" s="7" t="s">
        <v>27</v>
      </c>
      <c r="E33" s="7" t="s">
        <v>28</v>
      </c>
      <c r="F33" s="3">
        <v>28</v>
      </c>
      <c r="G33" s="1" t="s">
        <v>32</v>
      </c>
      <c r="H33" s="14" t="s">
        <v>30</v>
      </c>
      <c r="I33" s="6" t="s">
        <v>19</v>
      </c>
      <c r="J33" s="1" t="s">
        <v>20</v>
      </c>
      <c r="K33" s="4" t="s">
        <v>30</v>
      </c>
      <c r="L33" s="9"/>
      <c r="M33" s="15"/>
      <c r="N33" s="15"/>
    </row>
    <row r="34" spans="1:14">
      <c r="A34" s="9">
        <v>46220</v>
      </c>
      <c r="B34" s="9" t="str">
        <f t="shared" si="3"/>
        <v>Friday</v>
      </c>
      <c r="C34" s="8" t="s">
        <v>67</v>
      </c>
      <c r="D34" s="8" t="s">
        <v>68</v>
      </c>
      <c r="E34" s="8" t="s">
        <v>16</v>
      </c>
      <c r="F34" s="3">
        <v>2</v>
      </c>
      <c r="G34" s="1" t="s">
        <v>49</v>
      </c>
      <c r="H34" s="17" t="s">
        <v>69</v>
      </c>
      <c r="I34" s="6" t="s">
        <v>19</v>
      </c>
      <c r="J34" s="1" t="s">
        <v>70</v>
      </c>
      <c r="K34" s="4" t="s">
        <v>69</v>
      </c>
      <c r="L34" s="9"/>
      <c r="M34" s="15"/>
      <c r="N34" s="15"/>
    </row>
    <row r="35" spans="1:14">
      <c r="A35" s="9">
        <v>46220</v>
      </c>
      <c r="B35" s="9" t="str">
        <f t="shared" si="3"/>
        <v>Friday</v>
      </c>
      <c r="C35" s="33" t="s">
        <v>62</v>
      </c>
      <c r="D35" s="33" t="s">
        <v>53</v>
      </c>
      <c r="E35" s="8" t="s">
        <v>35</v>
      </c>
      <c r="F35" s="3">
        <v>1</v>
      </c>
      <c r="G35" s="1" t="s">
        <v>49</v>
      </c>
      <c r="H35" s="10" t="s">
        <v>71</v>
      </c>
      <c r="I35" s="6" t="s">
        <v>19</v>
      </c>
      <c r="J35" s="1" t="s">
        <v>51</v>
      </c>
      <c r="K35" s="4" t="s">
        <v>71</v>
      </c>
      <c r="L35" s="9"/>
      <c r="M35" s="15"/>
      <c r="N35" s="15"/>
    </row>
    <row r="36" spans="1:14">
      <c r="A36" s="9">
        <v>46220</v>
      </c>
      <c r="B36" s="9" t="str">
        <f t="shared" si="3"/>
        <v>Friday</v>
      </c>
      <c r="C36" s="7" t="s">
        <v>26</v>
      </c>
      <c r="D36" s="7" t="s">
        <v>27</v>
      </c>
      <c r="E36" s="7" t="s">
        <v>28</v>
      </c>
      <c r="F36" s="3">
        <v>29</v>
      </c>
      <c r="G36" s="1" t="s">
        <v>32</v>
      </c>
      <c r="H36" s="14" t="s">
        <v>30</v>
      </c>
      <c r="I36" s="6" t="s">
        <v>19</v>
      </c>
      <c r="J36" s="1" t="s">
        <v>20</v>
      </c>
      <c r="K36" s="4" t="s">
        <v>30</v>
      </c>
      <c r="L36" s="9"/>
      <c r="M36" s="15"/>
      <c r="N36" s="15"/>
    </row>
    <row r="37" spans="1:14">
      <c r="A37" s="9">
        <v>46221</v>
      </c>
      <c r="B37" s="9" t="str">
        <f t="shared" si="3"/>
        <v>Saturday</v>
      </c>
      <c r="C37" s="39" t="s">
        <v>72</v>
      </c>
      <c r="D37" s="8" t="s">
        <v>73</v>
      </c>
      <c r="E37" s="8" t="s">
        <v>74</v>
      </c>
      <c r="F37" s="3">
        <v>1</v>
      </c>
      <c r="G37" s="1" t="s">
        <v>75</v>
      </c>
      <c r="H37" s="40" t="s">
        <v>76</v>
      </c>
      <c r="I37" s="6" t="s">
        <v>19</v>
      </c>
      <c r="J37" s="1" t="s">
        <v>20</v>
      </c>
      <c r="K37" s="4" t="s">
        <v>76</v>
      </c>
      <c r="L37" s="9">
        <v>46221</v>
      </c>
      <c r="M37" s="9">
        <v>46221</v>
      </c>
      <c r="N37" s="15"/>
    </row>
    <row r="38" spans="1:14">
      <c r="A38" s="9">
        <v>46223</v>
      </c>
      <c r="B38" s="9" t="str">
        <f t="shared" si="3"/>
        <v>Monday</v>
      </c>
      <c r="C38" s="8" t="s">
        <v>43</v>
      </c>
      <c r="D38" s="8" t="s">
        <v>77</v>
      </c>
      <c r="E38" s="8" t="s">
        <v>78</v>
      </c>
      <c r="F38" s="3">
        <v>2</v>
      </c>
      <c r="G38" s="1" t="s">
        <v>79</v>
      </c>
      <c r="H38" s="10" t="s">
        <v>80</v>
      </c>
      <c r="I38" s="6" t="s">
        <v>19</v>
      </c>
      <c r="J38" s="1" t="s">
        <v>20</v>
      </c>
      <c r="K38" s="4" t="s">
        <v>80</v>
      </c>
      <c r="L38" s="9">
        <v>46223</v>
      </c>
      <c r="M38" s="15"/>
      <c r="N38" s="15"/>
    </row>
    <row r="39" spans="1:14">
      <c r="A39" s="9">
        <v>46223</v>
      </c>
      <c r="B39" s="9" t="str">
        <f t="shared" ref="B39:B40" si="4">TEXT(A39,"dddd")</f>
        <v>Monday</v>
      </c>
      <c r="C39" s="8" t="s">
        <v>43</v>
      </c>
      <c r="D39" s="8" t="s">
        <v>77</v>
      </c>
      <c r="E39" s="8" t="s">
        <v>78</v>
      </c>
      <c r="F39" s="3">
        <v>1</v>
      </c>
      <c r="G39" s="1" t="s">
        <v>79</v>
      </c>
      <c r="H39" s="42" t="s">
        <v>81</v>
      </c>
      <c r="I39" s="6" t="s">
        <v>19</v>
      </c>
      <c r="J39" s="1" t="s">
        <v>20</v>
      </c>
      <c r="K39" s="4" t="s">
        <v>81</v>
      </c>
      <c r="L39" s="9"/>
      <c r="M39" s="9">
        <v>46223</v>
      </c>
      <c r="N39" s="15"/>
    </row>
    <row r="40" spans="1:14">
      <c r="A40" s="9">
        <v>46224</v>
      </c>
      <c r="B40" s="9" t="str">
        <f t="shared" si="4"/>
        <v>Tuesday</v>
      </c>
      <c r="C40" s="7" t="s">
        <v>26</v>
      </c>
      <c r="D40" s="7" t="s">
        <v>27</v>
      </c>
      <c r="E40" s="7" t="s">
        <v>28</v>
      </c>
      <c r="F40" s="3">
        <v>31</v>
      </c>
      <c r="G40" s="1" t="s">
        <v>32</v>
      </c>
      <c r="H40" s="14" t="s">
        <v>30</v>
      </c>
      <c r="I40" s="6" t="s">
        <v>19</v>
      </c>
      <c r="J40" s="1" t="s">
        <v>20</v>
      </c>
      <c r="K40" s="4" t="s">
        <v>30</v>
      </c>
      <c r="L40" s="9"/>
      <c r="M40" s="15"/>
      <c r="N40" s="15"/>
    </row>
    <row r="41" spans="1:14">
      <c r="A41" s="9">
        <v>46225</v>
      </c>
      <c r="B41" s="9" t="str">
        <f t="shared" ref="B41:B42" si="5">TEXT(A41,"dddd")</f>
        <v>Wednesday</v>
      </c>
      <c r="C41" s="7" t="s">
        <v>26</v>
      </c>
      <c r="D41" s="7" t="s">
        <v>27</v>
      </c>
      <c r="E41" s="7" t="s">
        <v>28</v>
      </c>
      <c r="F41" s="3">
        <v>17</v>
      </c>
      <c r="G41" s="1" t="s">
        <v>32</v>
      </c>
      <c r="H41" s="14" t="s">
        <v>30</v>
      </c>
      <c r="I41" s="6" t="s">
        <v>19</v>
      </c>
      <c r="J41" s="1" t="s">
        <v>20</v>
      </c>
      <c r="K41" s="4" t="s">
        <v>30</v>
      </c>
      <c r="L41" s="9"/>
      <c r="M41" s="15"/>
      <c r="N41" s="15"/>
    </row>
    <row r="42" spans="1:14">
      <c r="A42" s="9">
        <v>46226</v>
      </c>
      <c r="B42" s="9" t="str">
        <f t="shared" si="5"/>
        <v>Thursday</v>
      </c>
      <c r="C42" s="7" t="s">
        <v>26</v>
      </c>
      <c r="D42" s="7" t="s">
        <v>27</v>
      </c>
      <c r="E42" s="7" t="s">
        <v>28</v>
      </c>
      <c r="F42" s="3">
        <v>25</v>
      </c>
      <c r="G42" s="1" t="s">
        <v>82</v>
      </c>
      <c r="H42" s="14" t="s">
        <v>30</v>
      </c>
      <c r="I42" s="6" t="s">
        <v>19</v>
      </c>
      <c r="J42" s="1" t="s">
        <v>20</v>
      </c>
      <c r="K42" s="4" t="s">
        <v>30</v>
      </c>
      <c r="L42" s="9"/>
      <c r="M42" s="15"/>
      <c r="N42" s="15"/>
    </row>
    <row r="43" spans="1:14">
      <c r="A43" s="9">
        <v>46227</v>
      </c>
      <c r="B43" s="9" t="str">
        <f t="shared" ref="B43" si="6">TEXT(A43,"dddd")</f>
        <v>Friday</v>
      </c>
      <c r="C43" s="7" t="s">
        <v>26</v>
      </c>
      <c r="D43" s="7" t="s">
        <v>27</v>
      </c>
      <c r="E43" s="7" t="s">
        <v>28</v>
      </c>
      <c r="F43" s="3">
        <v>33</v>
      </c>
      <c r="G43" s="1" t="s">
        <v>82</v>
      </c>
      <c r="H43" s="14" t="s">
        <v>30</v>
      </c>
      <c r="I43" s="6" t="s">
        <v>19</v>
      </c>
      <c r="J43" s="1" t="s">
        <v>20</v>
      </c>
      <c r="K43" s="4" t="s">
        <v>30</v>
      </c>
      <c r="L43" s="9"/>
      <c r="M43" s="15"/>
      <c r="N43" s="15"/>
    </row>
    <row r="44" spans="1:14">
      <c r="A44" s="9">
        <v>46228</v>
      </c>
      <c r="B44" s="9" t="str">
        <f t="shared" ref="B44:B47" si="7">TEXT(A44,"dddd")</f>
        <v>Saturday</v>
      </c>
      <c r="C44" s="7" t="s">
        <v>26</v>
      </c>
      <c r="D44" s="7" t="s">
        <v>27</v>
      </c>
      <c r="E44" s="7" t="s">
        <v>28</v>
      </c>
      <c r="F44" s="3">
        <v>18</v>
      </c>
      <c r="G44" s="1" t="s">
        <v>82</v>
      </c>
      <c r="H44" s="14" t="s">
        <v>30</v>
      </c>
      <c r="I44" s="6" t="s">
        <v>19</v>
      </c>
      <c r="J44" s="1" t="s">
        <v>20</v>
      </c>
      <c r="K44" s="4" t="s">
        <v>30</v>
      </c>
      <c r="L44" s="9"/>
      <c r="M44" s="15"/>
      <c r="N44" s="15"/>
    </row>
    <row r="45" spans="1:14">
      <c r="A45" s="9">
        <v>46228</v>
      </c>
      <c r="B45" s="9" t="str">
        <f t="shared" si="7"/>
        <v>Saturday</v>
      </c>
      <c r="C45" s="8" t="s">
        <v>43</v>
      </c>
      <c r="D45" s="8" t="s">
        <v>47</v>
      </c>
      <c r="E45" s="8" t="s">
        <v>48</v>
      </c>
      <c r="F45" s="8">
        <v>8</v>
      </c>
      <c r="G45" s="1" t="s">
        <v>79</v>
      </c>
      <c r="H45" s="10" t="s">
        <v>83</v>
      </c>
      <c r="I45" s="6" t="s">
        <v>19</v>
      </c>
      <c r="J45" s="1" t="s">
        <v>31</v>
      </c>
      <c r="K45" s="4" t="s">
        <v>83</v>
      </c>
      <c r="L45" s="9">
        <v>46228</v>
      </c>
      <c r="M45" s="15"/>
      <c r="N45" s="15"/>
    </row>
    <row r="46" spans="1:14">
      <c r="A46" s="9">
        <v>46228</v>
      </c>
      <c r="B46" s="9" t="str">
        <f t="shared" si="7"/>
        <v>Saturday</v>
      </c>
      <c r="C46" s="8" t="s">
        <v>52</v>
      </c>
      <c r="D46" s="8" t="s">
        <v>47</v>
      </c>
      <c r="E46" s="8" t="s">
        <v>48</v>
      </c>
      <c r="F46" s="8">
        <v>1</v>
      </c>
      <c r="G46" s="1" t="s">
        <v>79</v>
      </c>
      <c r="H46" s="10" t="s">
        <v>84</v>
      </c>
      <c r="I46" s="6" t="s">
        <v>19</v>
      </c>
      <c r="J46" s="1" t="s">
        <v>20</v>
      </c>
      <c r="K46" s="4" t="s">
        <v>84</v>
      </c>
      <c r="L46" s="9"/>
      <c r="M46" s="15"/>
      <c r="N46" s="9">
        <v>46228</v>
      </c>
    </row>
    <row r="47" spans="1:14">
      <c r="A47" s="9">
        <v>46230</v>
      </c>
      <c r="B47" s="9" t="str">
        <f t="shared" si="7"/>
        <v>Monday</v>
      </c>
      <c r="C47" s="8" t="s">
        <v>65</v>
      </c>
      <c r="D47" s="34" t="s">
        <v>44</v>
      </c>
      <c r="E47" s="33" t="s">
        <v>35</v>
      </c>
      <c r="F47" s="8">
        <v>1</v>
      </c>
      <c r="G47" s="1" t="s">
        <v>36</v>
      </c>
      <c r="H47" s="10" t="s">
        <v>85</v>
      </c>
      <c r="I47" s="6" t="s">
        <v>19</v>
      </c>
      <c r="J47" s="1" t="s">
        <v>20</v>
      </c>
      <c r="K47" s="4" t="s">
        <v>85</v>
      </c>
      <c r="L47" s="9">
        <v>46229</v>
      </c>
      <c r="M47" s="15"/>
      <c r="N47" s="15"/>
    </row>
    <row r="48" spans="1:14">
      <c r="A48" s="9">
        <v>46230</v>
      </c>
      <c r="B48" s="9" t="str">
        <f t="shared" ref="B48:B50" si="8">TEXT(A48,"dddd")</f>
        <v>Monday</v>
      </c>
      <c r="C48" s="7" t="s">
        <v>26</v>
      </c>
      <c r="D48" s="7" t="s">
        <v>27</v>
      </c>
      <c r="E48" s="7" t="s">
        <v>28</v>
      </c>
      <c r="F48" s="3">
        <v>43</v>
      </c>
      <c r="G48" s="1" t="s">
        <v>82</v>
      </c>
      <c r="H48" s="14" t="s">
        <v>30</v>
      </c>
      <c r="I48" s="6" t="s">
        <v>19</v>
      </c>
      <c r="J48" s="1" t="s">
        <v>20</v>
      </c>
      <c r="K48" s="4" t="s">
        <v>30</v>
      </c>
      <c r="L48" s="9"/>
      <c r="M48" s="15"/>
      <c r="N48" s="15"/>
    </row>
    <row r="49" spans="1:14">
      <c r="A49" s="9">
        <v>46231</v>
      </c>
      <c r="B49" s="9" t="str">
        <f t="shared" si="8"/>
        <v>Tuesday</v>
      </c>
      <c r="C49" s="7" t="s">
        <v>26</v>
      </c>
      <c r="D49" s="7" t="s">
        <v>27</v>
      </c>
      <c r="E49" s="7" t="s">
        <v>28</v>
      </c>
      <c r="F49" s="3">
        <v>33</v>
      </c>
      <c r="G49" s="1" t="s">
        <v>82</v>
      </c>
      <c r="H49" s="14" t="s">
        <v>30</v>
      </c>
      <c r="I49" s="6" t="s">
        <v>19</v>
      </c>
      <c r="J49" s="1" t="s">
        <v>20</v>
      </c>
      <c r="K49" s="4" t="s">
        <v>30</v>
      </c>
      <c r="L49" s="9"/>
      <c r="M49" s="15"/>
      <c r="N49" s="15"/>
    </row>
    <row r="50" spans="1:14">
      <c r="A50" s="9">
        <v>46231</v>
      </c>
      <c r="B50" s="9" t="str">
        <f t="shared" si="8"/>
        <v>Tuesday</v>
      </c>
      <c r="C50" s="8" t="s">
        <v>62</v>
      </c>
      <c r="D50" s="8" t="s">
        <v>63</v>
      </c>
      <c r="E50" s="8" t="s">
        <v>35</v>
      </c>
      <c r="F50" s="8">
        <v>1</v>
      </c>
      <c r="G50" s="1" t="s">
        <v>36</v>
      </c>
      <c r="H50" s="10" t="s">
        <v>86</v>
      </c>
      <c r="I50" s="6" t="s">
        <v>19</v>
      </c>
      <c r="J50" s="1" t="s">
        <v>20</v>
      </c>
      <c r="K50" s="4" t="s">
        <v>86</v>
      </c>
      <c r="L50" s="9"/>
      <c r="M50" s="15"/>
      <c r="N50" s="15"/>
    </row>
    <row r="51" spans="1:14">
      <c r="A51" s="9">
        <v>46231</v>
      </c>
      <c r="B51" s="9" t="str">
        <f t="shared" ref="B51" si="9">TEXT(A51,"dddd")</f>
        <v>Tuesday</v>
      </c>
      <c r="C51" s="8" t="s">
        <v>62</v>
      </c>
      <c r="D51" s="8" t="s">
        <v>63</v>
      </c>
      <c r="E51" s="8" t="s">
        <v>35</v>
      </c>
      <c r="F51" s="8">
        <v>1</v>
      </c>
      <c r="G51" s="1" t="s">
        <v>36</v>
      </c>
      <c r="H51" s="10" t="s">
        <v>87</v>
      </c>
      <c r="I51" s="6" t="s">
        <v>38</v>
      </c>
      <c r="J51" s="1" t="s">
        <v>31</v>
      </c>
      <c r="K51" s="4" t="s">
        <v>87</v>
      </c>
      <c r="L51" s="9"/>
      <c r="M51" s="15"/>
      <c r="N51" s="15"/>
    </row>
    <row r="52" spans="1:14">
      <c r="A52" s="9">
        <v>46231</v>
      </c>
      <c r="B52" s="9" t="str">
        <f t="shared" ref="B52:B54" si="10">TEXT(A52,"dddd")</f>
        <v>Tuesday</v>
      </c>
      <c r="C52" s="8" t="s">
        <v>62</v>
      </c>
      <c r="D52" s="8" t="s">
        <v>63</v>
      </c>
      <c r="E52" s="8" t="s">
        <v>35</v>
      </c>
      <c r="F52" s="8">
        <v>6</v>
      </c>
      <c r="G52" s="1" t="s">
        <v>36</v>
      </c>
      <c r="H52" s="10" t="s">
        <v>88</v>
      </c>
      <c r="I52" s="6" t="s">
        <v>38</v>
      </c>
      <c r="J52" s="1" t="s">
        <v>31</v>
      </c>
      <c r="K52" s="4" t="s">
        <v>88</v>
      </c>
      <c r="L52" s="9"/>
      <c r="M52" s="15"/>
      <c r="N52" s="15"/>
    </row>
    <row r="53" spans="1:14">
      <c r="A53" s="9">
        <v>46232</v>
      </c>
      <c r="B53" s="9" t="str">
        <f t="shared" si="10"/>
        <v>Wednesday</v>
      </c>
      <c r="C53" s="7" t="s">
        <v>26</v>
      </c>
      <c r="D53" s="7" t="s">
        <v>27</v>
      </c>
      <c r="E53" s="7" t="s">
        <v>28</v>
      </c>
      <c r="F53" s="3">
        <v>32</v>
      </c>
      <c r="G53" s="1" t="s">
        <v>82</v>
      </c>
      <c r="H53" s="14" t="s">
        <v>30</v>
      </c>
      <c r="I53" s="6" t="s">
        <v>19</v>
      </c>
      <c r="J53" s="1" t="s">
        <v>20</v>
      </c>
      <c r="K53" s="4" t="s">
        <v>30</v>
      </c>
      <c r="L53" s="9"/>
      <c r="M53" s="15"/>
      <c r="N53" s="15"/>
    </row>
    <row r="54" spans="1:14">
      <c r="A54" s="9">
        <v>46232</v>
      </c>
      <c r="B54" s="9" t="str">
        <f t="shared" si="10"/>
        <v>Wednesday</v>
      </c>
      <c r="C54" s="33" t="s">
        <v>62</v>
      </c>
      <c r="D54" s="8" t="s">
        <v>89</v>
      </c>
      <c r="E54" s="8" t="s">
        <v>35</v>
      </c>
      <c r="F54" s="8">
        <v>1</v>
      </c>
      <c r="G54" s="1" t="s">
        <v>36</v>
      </c>
      <c r="H54" s="40" t="s">
        <v>90</v>
      </c>
      <c r="I54" s="6" t="s">
        <v>19</v>
      </c>
      <c r="J54" s="1" t="s">
        <v>20</v>
      </c>
      <c r="K54" s="4" t="s">
        <v>90</v>
      </c>
      <c r="L54" s="9"/>
      <c r="M54" s="15"/>
      <c r="N54" s="15"/>
    </row>
    <row r="55" spans="1:14">
      <c r="A55" s="9">
        <v>46233</v>
      </c>
      <c r="B55" s="9" t="str">
        <f t="shared" ref="B55:B56" si="11">TEXT(A55,"dddd")</f>
        <v>Thursday</v>
      </c>
      <c r="C55" s="7" t="s">
        <v>26</v>
      </c>
      <c r="D55" s="7" t="s">
        <v>27</v>
      </c>
      <c r="E55" s="7" t="s">
        <v>28</v>
      </c>
      <c r="F55" s="53">
        <v>27</v>
      </c>
      <c r="G55" s="1" t="s">
        <v>82</v>
      </c>
      <c r="H55" s="14" t="s">
        <v>30</v>
      </c>
      <c r="I55" s="6" t="s">
        <v>19</v>
      </c>
      <c r="J55" s="1" t="s">
        <v>20</v>
      </c>
      <c r="K55" s="4" t="s">
        <v>30</v>
      </c>
      <c r="L55" s="9"/>
      <c r="M55" s="15"/>
      <c r="N55" s="15"/>
    </row>
    <row r="56" spans="1:14">
      <c r="A56" s="9">
        <v>46234</v>
      </c>
      <c r="B56" s="9" t="str">
        <f t="shared" si="11"/>
        <v>Friday</v>
      </c>
      <c r="C56" s="8" t="s">
        <v>43</v>
      </c>
      <c r="D56" s="52" t="s">
        <v>91</v>
      </c>
      <c r="E56" s="8" t="s">
        <v>58</v>
      </c>
      <c r="F56" s="8">
        <v>2</v>
      </c>
      <c r="G56" s="1" t="s">
        <v>92</v>
      </c>
      <c r="H56" s="10" t="s">
        <v>93</v>
      </c>
      <c r="I56" s="6" t="s">
        <v>19</v>
      </c>
      <c r="J56" s="1" t="s">
        <v>20</v>
      </c>
      <c r="K56" s="4" t="s">
        <v>93</v>
      </c>
      <c r="L56" s="9"/>
      <c r="M56" s="15"/>
      <c r="N56" s="15"/>
    </row>
    <row r="57" spans="1:14">
      <c r="A57" s="9">
        <v>46234</v>
      </c>
      <c r="B57" s="9" t="str">
        <f t="shared" ref="B57:B58" si="12">TEXT(A57,"dddd")</f>
        <v>Friday</v>
      </c>
      <c r="C57" s="7" t="s">
        <v>26</v>
      </c>
      <c r="D57" s="7" t="s">
        <v>27</v>
      </c>
      <c r="E57" s="7" t="s">
        <v>28</v>
      </c>
      <c r="F57" s="53">
        <v>38</v>
      </c>
      <c r="G57" s="1" t="s">
        <v>82</v>
      </c>
      <c r="H57" s="14" t="s">
        <v>30</v>
      </c>
      <c r="I57" s="6" t="s">
        <v>19</v>
      </c>
      <c r="J57" s="1" t="s">
        <v>20</v>
      </c>
      <c r="K57" s="4" t="s">
        <v>30</v>
      </c>
      <c r="L57" s="9"/>
      <c r="M57" s="15"/>
      <c r="N57" s="15"/>
    </row>
    <row r="58" spans="1:14">
      <c r="A58" s="9">
        <v>46234</v>
      </c>
      <c r="B58" s="9" t="str">
        <f t="shared" si="12"/>
        <v>Friday</v>
      </c>
      <c r="C58" s="33" t="s">
        <v>62</v>
      </c>
      <c r="D58" s="8" t="s">
        <v>94</v>
      </c>
      <c r="E58" s="8" t="s">
        <v>95</v>
      </c>
      <c r="F58" s="8">
        <v>1</v>
      </c>
      <c r="G58" s="1" t="s">
        <v>36</v>
      </c>
      <c r="H58" s="10" t="s">
        <v>96</v>
      </c>
      <c r="I58" s="6" t="s">
        <v>19</v>
      </c>
      <c r="J58" s="1" t="s">
        <v>31</v>
      </c>
      <c r="K58" s="4" t="s">
        <v>96</v>
      </c>
      <c r="L58" s="9"/>
      <c r="M58" s="15"/>
      <c r="N58" s="15"/>
    </row>
  </sheetData>
  <autoFilter ref="A1:N58" xr:uid="{9596E758-A1D8-46F0-B6C2-E1EF7EFF03E0}"/>
  <conditionalFormatting sqref="H22">
    <cfRule type="duplicateValues" dxfId="81" priority="38"/>
    <cfRule type="duplicateValues" dxfId="80" priority="37"/>
    <cfRule type="duplicateValues" dxfId="79" priority="36"/>
  </conditionalFormatting>
  <conditionalFormatting sqref="H26">
    <cfRule type="duplicateValues" dxfId="78" priority="30"/>
    <cfRule type="duplicateValues" dxfId="77" priority="32"/>
    <cfRule type="duplicateValues" dxfId="76" priority="31"/>
  </conditionalFormatting>
  <conditionalFormatting sqref="H32">
    <cfRule type="duplicateValues" dxfId="75" priority="19"/>
    <cfRule type="duplicateValues" dxfId="74" priority="20"/>
    <cfRule type="duplicateValues" dxfId="73" priority="21"/>
    <cfRule type="duplicateValues" dxfId="72" priority="22"/>
    <cfRule type="duplicateValues" dxfId="71" priority="23"/>
    <cfRule type="duplicateValues" dxfId="70" priority="24"/>
    <cfRule type="duplicateValues" dxfId="69" priority="25"/>
    <cfRule type="duplicateValues" dxfId="68" priority="26"/>
    <cfRule type="duplicateValues" dxfId="67" priority="27"/>
    <cfRule type="duplicateValues" dxfId="66" priority="28"/>
    <cfRule type="duplicateValues" dxfId="65" priority="29"/>
  </conditionalFormatting>
  <conditionalFormatting sqref="H33">
    <cfRule type="duplicateValues" dxfId="64" priority="7"/>
  </conditionalFormatting>
  <conditionalFormatting sqref="H34">
    <cfRule type="duplicateValues" dxfId="63" priority="8"/>
    <cfRule type="duplicateValues" dxfId="62" priority="9"/>
    <cfRule type="duplicateValues" dxfId="61" priority="10"/>
    <cfRule type="duplicateValues" dxfId="60" priority="11"/>
    <cfRule type="duplicateValues" dxfId="59" priority="12"/>
    <cfRule type="duplicateValues" dxfId="58" priority="17"/>
    <cfRule type="duplicateValues" dxfId="57" priority="16"/>
    <cfRule type="duplicateValues" dxfId="56" priority="15"/>
    <cfRule type="duplicateValues" dxfId="55" priority="14"/>
    <cfRule type="duplicateValues" dxfId="54" priority="13"/>
    <cfRule type="duplicateValues" dxfId="53" priority="18"/>
  </conditionalFormatting>
  <conditionalFormatting sqref="H36">
    <cfRule type="duplicateValues" dxfId="52" priority="6"/>
  </conditionalFormatting>
  <conditionalFormatting sqref="H40:H44">
    <cfRule type="duplicateValues" dxfId="51" priority="5"/>
  </conditionalFormatting>
  <conditionalFormatting sqref="H48:H49 H53">
    <cfRule type="duplicateValues" dxfId="50" priority="4"/>
  </conditionalFormatting>
  <conditionalFormatting sqref="H55">
    <cfRule type="duplicateValues" dxfId="49" priority="3"/>
  </conditionalFormatting>
  <conditionalFormatting sqref="H57">
    <cfRule type="duplicateValues" dxfId="48" priority="2"/>
  </conditionalFormatting>
  <conditionalFormatting sqref="H59:H1048576 H21 H23:H24 H28:H30 H1:H18">
    <cfRule type="duplicateValues" dxfId="47" priority="39"/>
  </conditionalFormatting>
  <conditionalFormatting sqref="K29">
    <cfRule type="duplicateValues" dxfId="46" priority="1"/>
  </conditionalFormatting>
  <hyperlinks>
    <hyperlink ref="K2" r:id="rId1" display="../../../../../:f:/g/personal/soubhagya_swain_premierenergies_com/IgChHhpehwTJTJoBRZ9lIu3XAWJ-I3Q1wBx46uTsVSH3HXY?e=GgBf4m" xr:uid="{D8A74CC0-5610-45DA-8E59-5F7C48E79D4A}"/>
    <hyperlink ref="K3" r:id="rId2" display="https://adminpel-my.sharepoint.com/:f:/g/personal/soubhagya_swain_premierenergies_com/IgCCYr0VNoMlTbOr3ydOAnBmAeKU4BMKLqEK6RN3RPRmgfY?e=TXc3wo" xr:uid="{9662B9D3-2569-40D7-B788-75D35F82EDA8}"/>
    <hyperlink ref="K4" r:id="rId3" display="../../../../../:f:/g/personal/soubhagya_swain_premierenergies_com/IgAyfyMAIZqzSJnZX-omWt21AUjdung9Ens0hSpQvaGsxO4?e=QWMY5f" xr:uid="{FD6F630D-A022-4F01-9813-5C14B4238E88}"/>
    <hyperlink ref="K5" r:id="rId4" display="https://adminpel-my.sharepoint.com/:f:/g/personal/soubhagya_swain_premierenergies_com/IgCCYr0VNoMlTbOr3ydOAnBmAeKU4BMKLqEK6RN3RPRmgfY?e=TXc3wo" xr:uid="{3DFAB17F-7B11-4F1A-9CEE-D3D29A30F102}"/>
    <hyperlink ref="K6" r:id="rId5" display="../../../../../:f:/g/personal/soubhagya_swain_premierenergies_com/IgAyfyMAIZqzSJnZX-omWt21AUjdung9Ens0hSpQvaGsxO4?e=QWMY5f" xr:uid="{AC29AD1E-01F1-4092-9527-46D3708B8363}"/>
    <hyperlink ref="K8" r:id="rId6" display="https://adminpel-my.sharepoint.com/:f:/g/personal/soubhagya_swain_premierenergies_com/IgCCYr0VNoMlTbOr3ydOAnBmAeKU4BMKLqEK6RN3RPRmgfY?e=TXc3wo" xr:uid="{67856354-0449-498B-B606-8A5172F4FFC0}"/>
    <hyperlink ref="K7" r:id="rId7" display="../../../../../:f:/g/personal/soubhagya_swain_premierenergies_com/IgAyfyMAIZqzSJnZX-omWt21AUjdung9Ens0hSpQvaGsxO4?e=QWMY5f" xr:uid="{A84EE960-8EA1-46E4-953C-0B302877A04E}"/>
    <hyperlink ref="K9" r:id="rId8" display="https://adminpel-my.sharepoint.com/:f:/g/personal/soubhagya_swain_premierenergies_com/IgCCYr0VNoMlTbOr3ydOAnBmAeKU4BMKLqEK6RN3RPRmgfY?e=TXc3wo" xr:uid="{B6FB5A0E-52CD-42D6-BA3B-3AEE4AF9CA44}"/>
    <hyperlink ref="K10" r:id="rId9" display="https://adminpel-my.sharepoint.com/:f:/g/personal/soubhagya_swain_premierenergies_com/IgCCYr0VNoMlTbOr3ydOAnBmAeKU4BMKLqEK6RN3RPRmgfY?e=TXc3wo" xr:uid="{5D664197-BE77-4722-997C-03A82D068755}"/>
    <hyperlink ref="K11" r:id="rId10" display="https://adminpel-my.sharepoint.com/:f:/g/personal/soubhagya_swain_premierenergies_com/IgCCYr0VNoMlTbOr3ydOAnBmAeKU4BMKLqEK6RN3RPRmgfY?e=TXc3wo" xr:uid="{54675B13-904B-4394-B0B8-18D92DD02E82}"/>
    <hyperlink ref="K12" r:id="rId11" display="https://adminpel-my.sharepoint.com/:f:/g/personal/soubhagya_swain_premierenergies_com/IgCCYr0VNoMlTbOr3ydOAnBmAeKU4BMKLqEK6RN3RPRmgfY?e=TXc3wo" xr:uid="{0D543481-C1E1-4144-B923-FDCAF5433EAA}"/>
    <hyperlink ref="K13" r:id="rId12" display="https://adminpel-my.sharepoint.com/:f:/g/personal/soubhagya_swain_premierenergies_com/IgCCYr0VNoMlTbOr3ydOAnBmAeKU4BMKLqEK6RN3RPRmgfY?e=TXc3wo" xr:uid="{D3EC393B-9524-4676-A9CD-FED6957C5BDF}"/>
    <hyperlink ref="K14" r:id="rId13" display="../../../../../:f:/g/personal/soubhagya_swain_premierenergies_com/IgAyfyMAIZqzSJnZX-omWt21AUjdung9Ens0hSpQvaGsxO4?e=QWMY5f" xr:uid="{27622FE1-36E2-4CC1-B592-2B1064115C3E}"/>
    <hyperlink ref="K15" r:id="rId14" display="../../../../../:f:/g/personal/soubhagya_swain_premierenergies_com/IgCkboAzoen4QI5Ai8jVhl54AX1KcXADr7zA66xtKu5jqxw?e=aUeXYy" xr:uid="{8CC80DE7-8163-4ED7-9547-0B461735FC4E}"/>
    <hyperlink ref="K17" r:id="rId15" display="../../../../../:f:/g/personal/soubhagya_swain_premierenergies_com/IgAyfyMAIZqzSJnZX-omWt21AUjdung9Ens0hSpQvaGsxO4?e=QWMY5f" xr:uid="{0D2E5B54-64A2-46B2-9967-550556E5C161}"/>
    <hyperlink ref="K18" r:id="rId16" display="../../../../../:f:/g/personal/soubhagya_swain_premierenergies_com/IgDjprIkocyYRq6UunQE9V9TAXdNtPq6Ei7TCeKPJPBtYZg?e=rL8nW9" xr:uid="{C161CE48-1BF5-4A08-91BC-9881BED10411}"/>
    <hyperlink ref="K21" r:id="rId17" display="../../../../../:f:/g/personal/soubhagya_swain_premierenergies_com/IgDIdU7CxobCTrblri4foXw6ATNRU6q-I56asx6Q0SZtE3s?e=xQEeI8" xr:uid="{017944E1-164A-462D-95F6-5F0CD2C44079}"/>
    <hyperlink ref="K19" r:id="rId18" display="../../../../../:f:/g/personal/soubhagya_swain_premierenergies_com/IgCXGOklEPVQQpKiWq7NtrOkAdddDDJTnOEbobBlDIMqAL0?e=P9Tpqt" xr:uid="{494939B6-32F5-4180-86F7-03E125749004}"/>
    <hyperlink ref="K20" r:id="rId19" display="../../../../../:f:/g/personal/soubhagya_swain_premierenergies_com/IgCoV6Eml7S5SLHBOZ-kZS1EAZdz17p0Wt2b04E5PdpaTQI?e=9shBah" xr:uid="{9F349C1B-AA15-4B74-9EEA-404353749C22}"/>
    <hyperlink ref="K22" r:id="rId20" display="../../../../../:f:/g/personal/soubhagya_swain_premierenergies_com/IgCmcZVCSqpwQ46YWI6-ts_sAd9rl7mVoVpLBBM5xBtodN4?e=Nhv9Bp" xr:uid="{F2C0CAEA-D018-4120-A8D6-F7F3EF75E0D4}"/>
    <hyperlink ref="K23" r:id="rId21" display="../../../../../:f:/g/personal/soubhagya_swain_premierenergies_com/IgAyfyMAIZqzSJnZX-omWt21AUjdung9Ens0hSpQvaGsxO4?e=QWMY5f" xr:uid="{DD37C3C8-572B-46FB-B055-CB58AEB43445}"/>
    <hyperlink ref="K24" r:id="rId22" display="../../../../../:f:/g/personal/soubhagya_swain_premierenergies_com/IgAyfyMAIZqzSJnZX-omWt21AUjdung9Ens0hSpQvaGsxO4?e=QWMY5f" xr:uid="{BD786DF0-250C-4481-9E10-1116C45BEEEF}"/>
    <hyperlink ref="K25" r:id="rId23" display="../../../../../:f:/g/personal/soubhagya_swain_premierenergies_com/IgCCLteiUWZlTb50ex60s7a3AXExLKgP3jqIEr6ojQXBR8I?e=BVvuu1" xr:uid="{1F84B362-01BD-46AE-962A-E587B159F0CE}"/>
    <hyperlink ref="K26" r:id="rId24" display="../../../../../:f:/g/personal/soubhagya_swain_premierenergies_com/IgA_mGVOvcUHRb2Z39FNHnBUAQL4yRx7O_YIv3FdRDvIfcM?e=2mAhIs" xr:uid="{F793BF21-976C-4036-B846-33F4CDEB03AF}"/>
    <hyperlink ref="K27" r:id="rId25" display="../../../../../:f:/g/personal/soubhagya_swain_premierenergies_com/IgAYGGJM6TdySoZGVTW2kWOvAZUGKpiExtWOiLBNlBcRUzc?e=xpG62x" xr:uid="{911902EF-5C4B-4E31-80A4-CEE7750E036A}"/>
    <hyperlink ref="K28" r:id="rId26" display="../../../../../:f:/g/personal/soubhagya_swain_premierenergies_com/IgAyfyMAIZqzSJnZX-omWt21AUjdung9Ens0hSpQvaGsxO4?e=QWMY5f" xr:uid="{70D8A9FA-0B2C-402D-B19B-4A5515B0BA15}"/>
    <hyperlink ref="K30" r:id="rId27" display="../../../../../:f:/g/personal/soubhagya_swain_premierenergies_com/IgAyfyMAIZqzSJnZX-omWt21AUjdung9Ens0hSpQvaGsxO4?e=QWMY5f" xr:uid="{95DF7F60-70B6-48DD-A510-5676BA064F1F}"/>
    <hyperlink ref="K31" r:id="rId28" display="../../../../../:f:/g/personal/soubhagya_swain_premierenergies_com/IgAhFCIF6pkuSKIyb1c6W-1gAS4FLbnCo-dn-I1YwpVqibQ?e=2eur5T" xr:uid="{086131CF-B077-411A-A2AB-537AFA8C9505}"/>
    <hyperlink ref="K32" r:id="rId29" display="../../../../../:f:/g/personal/soubhagya_swain_premierenergies_com/IgBJnVsz5Vn8T7nepPviV_zDAUVlcDNpwb3-My7z1HHz77o?e=EN5Mot" xr:uid="{5354F8E5-6267-4B1E-AEF1-1F41F1B1FD3E}"/>
    <hyperlink ref="K34" r:id="rId30" display="../../../../../:f:/g/personal/soubhagya_swain_premierenergies_com/IgCikXDUDHkWSazzj5N4PTutAYf6RZSr5FODRPnA8XHrPXc?e=8FcCLP" xr:uid="{65A604C5-1C34-46E5-9147-5D9454AA63C6}"/>
    <hyperlink ref="K33" r:id="rId31" display="../../../../../:f:/g/personal/soubhagya_swain_premierenergies_com/IgAyfyMAIZqzSJnZX-omWt21AUjdung9Ens0hSpQvaGsxO4?e=QWMY5f" xr:uid="{A6F89657-EAF8-4076-80E6-72FA14A5F341}"/>
    <hyperlink ref="K35" r:id="rId32" display="../../../../../:f:/g/personal/soubhagya_swain_premierenergies_com/IgDzqbhvdyvYTZjx54e3x7MwAansNfQPwmhvxPqKDxy0TLc?e=3Vw3Fl" xr:uid="{3C2E68C7-1E35-4782-875A-CD0239BEE0EE}"/>
    <hyperlink ref="K36" r:id="rId33" display="../../../../../:f:/g/personal/soubhagya_swain_premierenergies_com/IgAyfyMAIZqzSJnZX-omWt21AUjdung9Ens0hSpQvaGsxO4?e=QWMY5f" xr:uid="{38863207-9B60-493C-9165-02A1EA51218D}"/>
    <hyperlink ref="K37" r:id="rId34" display="../../../../../:f:/g/personal/soubhagya_swain_premierenergies_com/IgDa_t0l87mERqQzpEeI4bxRARMwE-tw7eN8oibuiGJp0xs?e=ktiY1h" xr:uid="{F85ADD54-4561-4EEF-9E92-01EB973C4A1B}"/>
    <hyperlink ref="K38" r:id="rId35" display="../../../../../:f:/g/personal/soubhagya_swain_premierenergies_com/IgA0Bwh3drJQR7yJtspFC2MoAaS9WPSVEN8lIcK_GYy1m1g?e=gG2iVI" xr:uid="{0B8C4C31-4C8B-429A-B5D3-FF3B3CC79D9E}"/>
    <hyperlink ref="K39" r:id="rId36" display="../../../../../:f:/g/personal/soubhagya_swain_premierenergies_com/IgCYjXE-tQZZRYSiA85XEuVwAb5nNb3Z5vUAxqgUqD2Zt94?e=30DBAu" xr:uid="{7D9E6EB4-4C3F-4160-BF40-C830AB640441}"/>
    <hyperlink ref="K40" r:id="rId37" display="../../../../../:f:/g/personal/soubhagya_swain_premierenergies_com/IgAyfyMAIZqzSJnZX-omWt21AUjdung9Ens0hSpQvaGsxO4?e=QWMY5f" xr:uid="{27AEE837-7FE3-46B9-9695-C721F01ADC8E}"/>
    <hyperlink ref="K41" r:id="rId38" display="../../../../../:f:/g/personal/soubhagya_swain_premierenergies_com/IgAyfyMAIZqzSJnZX-omWt21AUjdung9Ens0hSpQvaGsxO4?e=QWMY5f" xr:uid="{C079B24D-7DDC-484C-91B9-ABFF09CE34EC}"/>
    <hyperlink ref="K42" r:id="rId39" display="../../../../../:f:/g/personal/soubhagya_swain_premierenergies_com/IgAyfyMAIZqzSJnZX-omWt21AUjdung9Ens0hSpQvaGsxO4?e=QWMY5f" xr:uid="{09C94CA3-D985-433B-AF7C-EBD14E6A700E}"/>
    <hyperlink ref="K43" r:id="rId40" display="../../../../../:f:/g/personal/soubhagya_swain_premierenergies_com/IgAyfyMAIZqzSJnZX-omWt21AUjdung9Ens0hSpQvaGsxO4?e=QWMY5f" xr:uid="{9E21A658-0B30-4FB6-BEC1-113219BFF6FF}"/>
    <hyperlink ref="K44" r:id="rId41" display="../../../../../:f:/g/personal/soubhagya_swain_premierenergies_com/IgAyfyMAIZqzSJnZX-omWt21AUjdung9Ens0hSpQvaGsxO4?e=QWMY5f" xr:uid="{BA7E0EC5-1C34-4AF9-BD3A-9E69B0D6BBAA}"/>
    <hyperlink ref="K45" r:id="rId42" display="../../../../../:f:/g/personal/soubhagya_swain_premierenergies_com/IgDyfBQRyS_mQ6mK-__B13mgAX-d0GNiB8QXF-Bxaxee688?e=lQx1zQ" xr:uid="{280C6BFD-DFB9-4F4B-9389-06BCC7A60B2F}"/>
    <hyperlink ref="K46" r:id="rId43" display="../../../../../:f:/g/personal/soubhagya_swain_premierenergies_com/IgBwKcYKS90KTYmclDZeRU74AbLMZVvlGKwQFozP8l4k_ag?e=BIyB10" xr:uid="{7784AE73-023F-42FF-B4E2-405EE54EFEB3}"/>
    <hyperlink ref="K47" r:id="rId44" display="../../../../../:f:/g/personal/soubhagya_swain_premierenergies_com/IgBtnWM3CMsQQ6opE_D1Sw2cAQLLkwFLkOLpw5Lj4NrlHUU?e=aJVzNs" xr:uid="{5199ACEA-5443-4B71-B4F9-6B768DEBFA13}"/>
    <hyperlink ref="K48" r:id="rId45" display="../../../../../:f:/g/personal/soubhagya_swain_premierenergies_com/IgAyfyMAIZqzSJnZX-omWt21AUjdung9Ens0hSpQvaGsxO4?e=QWMY5f" xr:uid="{946F55C8-A41C-485B-9FB6-F3B97FBB1865}"/>
    <hyperlink ref="K49" r:id="rId46" display="../../../../../:f:/g/personal/soubhagya_swain_premierenergies_com/IgAyfyMAIZqzSJnZX-omWt21AUjdung9Ens0hSpQvaGsxO4?e=QWMY5f" xr:uid="{543F8AA2-003B-4F1F-88F7-D04530B57F04}"/>
    <hyperlink ref="K50" r:id="rId47" display="../../../../../:f:/g/personal/soubhagya_swain_premierenergies_com/IgDx9fgjPpdvSZ3ofedB6wjKAe3uTj9fmQqecgcKt6cqqgc?e=bQk8Hu" xr:uid="{21B64630-3B41-45AA-9BE3-38FBA6E58A65}"/>
    <hyperlink ref="K51" r:id="rId48" display="../../../../../:f:/g/personal/soubhagya_swain_premierenergies_com/IgAlFZ_IWtsURIN-jBeRSXqTARcFSTxAhSN5RJiXLiOnNAE?e=tLZ7u8" xr:uid="{2F5C08F8-C02C-4F46-BDDF-E57E28BF4173}"/>
    <hyperlink ref="K52" r:id="rId49" display="../../../../../:f:/g/personal/soubhagya_swain_premierenergies_com/IgBbaXE2_lh9QJTLvXfsD3XrAeWGcGVwu8VQ2xWuhFXv_DA?e=Ztx94j" xr:uid="{C1C88686-6E38-4D54-9BBA-156CDCB11A31}"/>
    <hyperlink ref="K53" r:id="rId50" display="../../../../../:f:/g/personal/soubhagya_swain_premierenergies_com/IgAyfyMAIZqzSJnZX-omWt21AUjdung9Ens0hSpQvaGsxO4?e=QWMY5f" xr:uid="{22D1B563-31ED-4E56-A353-F45116E73745}"/>
    <hyperlink ref="K54" r:id="rId51" display="../../../../../:f:/g/personal/soubhagya_swain_premierenergies_com/IgBVXU9akIe5Sqzj1py6ZXmMATqpo2p0cu3Ih6Eh6dLza90?e=8vD1L8" xr:uid="{3FFF62BF-BA87-452A-9437-A2A7BDBC3347}"/>
    <hyperlink ref="K55" r:id="rId52" display="../../../../../:f:/g/personal/soubhagya_swain_premierenergies_com/IgAyfyMAIZqzSJnZX-omWt21AUjdung9Ens0hSpQvaGsxO4?e=QWMY5f" xr:uid="{45ED4103-7730-4ED0-AF02-35864FEFEA4E}"/>
    <hyperlink ref="K56" r:id="rId53" display="../../../../../:f:/g/personal/soubhagya_swain_premierenergies_com/IgBOG-weH6E2R7bBOT8M-m7WAcNaQ1FRZCltWyA0wpWdLe8?e=0mXOnB" xr:uid="{B3A95C33-76BD-4352-A97A-F0B39BF82DC1}"/>
    <hyperlink ref="K57" r:id="rId54" display="../../../../../:f:/g/personal/soubhagya_swain_premierenergies_com/IgAyfyMAIZqzSJnZX-omWt21AUjdung9Ens0hSpQvaGsxO4?e=QWMY5f" xr:uid="{4DFC45B0-9A62-4715-866B-AADDBBCF2357}"/>
    <hyperlink ref="K58" r:id="rId55" display="../../../../../:f:/g/personal/soubhagya_swain_premierenergies_com/IgCZ0Zv_91_STpMnz0v25zuaAbsh4WwT2j3xCBm8yhU1UwY?e=17Y0hN" xr:uid="{0F569E15-28EA-499F-8E67-3C5134348DBC}"/>
    <hyperlink ref="K16" r:id="rId56" display="../../../../../:f:/g/personal/soubhagya_swain_premierenergies_com/IgCkboAzoen4QI5Ai8jVhl54AX1KcXADr7zA66xtKu5jqxw?e=aUeXYy" xr:uid="{10C950D9-BC0B-4D8F-8C2C-42C9DC5A1498}"/>
  </hyperlinks>
  <pageMargins left="0.7" right="0.7" top="0.75" bottom="0.75" header="0.3" footer="0.3"/>
  <pageSetup orientation="portrait" r:id="rId5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7862-2E36-4497-80EB-EC7EF1AC24F3}">
  <sheetPr filterMode="1"/>
  <dimension ref="A1:AD882"/>
  <sheetViews>
    <sheetView tabSelected="1" zoomScale="90" zoomScaleNormal="90" workbookViewId="0">
      <pane xSplit="12" ySplit="1" topLeftCell="S382" activePane="bottomRight" state="frozen"/>
      <selection pane="topRight" activeCell="M1" sqref="M1"/>
      <selection pane="bottomLeft" activeCell="A2" sqref="A2"/>
      <selection pane="bottomRight" activeCell="T382" sqref="T382:T387"/>
    </sheetView>
  </sheetViews>
  <sheetFormatPr defaultColWidth="13.1796875" defaultRowHeight="14.5"/>
  <cols>
    <col min="2" max="2" width="8.453125" bestFit="1" customWidth="1"/>
    <col min="3" max="3" width="12.26953125" customWidth="1"/>
    <col min="5" max="5" width="12.1796875" customWidth="1"/>
    <col min="6" max="6" width="6.81640625" customWidth="1"/>
    <col min="9" max="9" width="13.1796875" style="30"/>
    <col min="21" max="21" width="14.54296875" bestFit="1" customWidth="1"/>
    <col min="30" max="30" width="13.1796875" style="133"/>
  </cols>
  <sheetData>
    <row r="1" spans="1:30" s="57" customFormat="1">
      <c r="A1" s="55" t="s">
        <v>0</v>
      </c>
      <c r="B1" s="55" t="s">
        <v>97</v>
      </c>
      <c r="C1" s="55" t="s">
        <v>98</v>
      </c>
      <c r="D1" s="55" t="s">
        <v>99</v>
      </c>
      <c r="E1" s="55" t="s">
        <v>100</v>
      </c>
      <c r="F1" s="55" t="s">
        <v>101</v>
      </c>
      <c r="G1" s="55" t="s">
        <v>102</v>
      </c>
      <c r="H1" s="55" t="s">
        <v>103</v>
      </c>
      <c r="I1" s="55" t="s">
        <v>104</v>
      </c>
      <c r="J1" s="55" t="s">
        <v>105</v>
      </c>
      <c r="K1" s="55" t="s">
        <v>106</v>
      </c>
      <c r="L1" s="55" t="s">
        <v>4</v>
      </c>
      <c r="M1" s="56" t="s">
        <v>107</v>
      </c>
      <c r="N1" s="55" t="s">
        <v>108</v>
      </c>
      <c r="O1" s="55" t="s">
        <v>109</v>
      </c>
      <c r="P1" s="55" t="s">
        <v>110</v>
      </c>
      <c r="Q1" s="55" t="s">
        <v>111</v>
      </c>
      <c r="R1" s="55" t="s">
        <v>112</v>
      </c>
      <c r="S1" s="55" t="s">
        <v>113</v>
      </c>
      <c r="T1" s="55" t="s">
        <v>114</v>
      </c>
      <c r="U1" s="55" t="s">
        <v>115</v>
      </c>
      <c r="V1" s="55" t="s">
        <v>116</v>
      </c>
      <c r="W1" s="55" t="s">
        <v>117</v>
      </c>
      <c r="X1" s="55" t="s">
        <v>118</v>
      </c>
      <c r="Y1" s="55" t="s">
        <v>119</v>
      </c>
      <c r="Z1" s="55" t="s">
        <v>120</v>
      </c>
      <c r="AA1" s="55" t="s">
        <v>121</v>
      </c>
      <c r="AB1" s="55" t="s">
        <v>122</v>
      </c>
      <c r="AD1" s="132"/>
    </row>
    <row r="2" spans="1:30" hidden="1">
      <c r="A2" s="21">
        <v>46189</v>
      </c>
      <c r="B2" s="1">
        <v>2026</v>
      </c>
      <c r="C2" s="58" t="s">
        <v>1106</v>
      </c>
      <c r="D2" s="8" t="s">
        <v>123</v>
      </c>
      <c r="E2" s="1"/>
      <c r="F2" s="1" t="s">
        <v>19</v>
      </c>
      <c r="G2" s="8" t="s">
        <v>124</v>
      </c>
      <c r="H2" s="8">
        <v>8848944464</v>
      </c>
      <c r="I2" s="17" t="s">
        <v>18</v>
      </c>
      <c r="J2" s="8" t="s">
        <v>125</v>
      </c>
      <c r="K2" s="8" t="s">
        <v>15</v>
      </c>
      <c r="L2" s="8" t="s">
        <v>16</v>
      </c>
      <c r="M2" s="22" t="s">
        <v>126</v>
      </c>
      <c r="N2" s="22" t="s">
        <v>127</v>
      </c>
      <c r="O2" s="8">
        <v>515</v>
      </c>
      <c r="P2" s="6" t="s">
        <v>128</v>
      </c>
      <c r="Q2" s="12" t="str">
        <f t="shared" ref="Q2:Q3" si="0">MID(P2,5,2)</f>
        <v>23</v>
      </c>
      <c r="R2" s="12" t="str">
        <f t="shared" ref="R2:R3" si="1">MID(P2,7,2)</f>
        <v>03</v>
      </c>
      <c r="S2" s="6" t="s">
        <v>129</v>
      </c>
      <c r="T2" s="1" t="s">
        <v>130</v>
      </c>
      <c r="U2" s="6" t="s">
        <v>131</v>
      </c>
      <c r="V2" s="6" t="s">
        <v>132</v>
      </c>
      <c r="W2" s="1" t="s">
        <v>133</v>
      </c>
      <c r="X2" s="5">
        <v>46204</v>
      </c>
      <c r="Y2" s="1">
        <f t="shared" ref="Y2:Y3" si="2">X2-A2</f>
        <v>15</v>
      </c>
      <c r="Z2" s="5">
        <v>46204</v>
      </c>
      <c r="AA2" s="3"/>
      <c r="AB2" s="3"/>
      <c r="AD2" s="133" t="str">
        <f>IF(AND(F2="Closed",X2&gt;=DATE(2026,7,1),X2&lt;=DATE(2026,7,31)),"Closed In July","Other")</f>
        <v>Closed In July</v>
      </c>
    </row>
    <row r="3" spans="1:30" hidden="1">
      <c r="A3" s="21">
        <v>46177</v>
      </c>
      <c r="B3" s="1">
        <v>2026</v>
      </c>
      <c r="C3" s="8" t="s">
        <v>21</v>
      </c>
      <c r="D3" s="8" t="s">
        <v>134</v>
      </c>
      <c r="E3" s="1"/>
      <c r="F3" s="1" t="s">
        <v>19</v>
      </c>
      <c r="G3" s="11" t="s">
        <v>135</v>
      </c>
      <c r="H3" s="8">
        <v>9578099893</v>
      </c>
      <c r="I3" s="10" t="s">
        <v>25</v>
      </c>
      <c r="J3" s="18" t="s">
        <v>136</v>
      </c>
      <c r="K3" s="8" t="s">
        <v>22</v>
      </c>
      <c r="L3" s="8" t="s">
        <v>23</v>
      </c>
      <c r="M3" s="2" t="s">
        <v>137</v>
      </c>
      <c r="N3" s="1" t="s">
        <v>138</v>
      </c>
      <c r="O3" s="11">
        <v>590</v>
      </c>
      <c r="P3" s="2" t="s">
        <v>139</v>
      </c>
      <c r="Q3" s="12" t="str">
        <f t="shared" si="0"/>
        <v>24</v>
      </c>
      <c r="R3" s="12" t="str">
        <f t="shared" si="1"/>
        <v>10</v>
      </c>
      <c r="S3" s="6" t="s">
        <v>140</v>
      </c>
      <c r="T3" s="1" t="s">
        <v>141</v>
      </c>
      <c r="U3" s="6" t="s">
        <v>142</v>
      </c>
      <c r="V3" s="6" t="s">
        <v>143</v>
      </c>
      <c r="W3" s="1" t="s">
        <v>133</v>
      </c>
      <c r="X3" s="5">
        <v>46204</v>
      </c>
      <c r="Y3" s="1">
        <f t="shared" si="2"/>
        <v>27</v>
      </c>
      <c r="Z3" s="5">
        <v>46204</v>
      </c>
      <c r="AA3" s="3"/>
      <c r="AB3" s="3"/>
      <c r="AD3" s="133" t="str">
        <f t="shared" ref="AD3:AD66" si="3">IF(AND(F3="Closed",X3&gt;=DATE(2026,7,1),X3&lt;=DATE(2026,7,31)),"Closed In July","Other")</f>
        <v>Closed In July</v>
      </c>
    </row>
    <row r="4" spans="1:30" hidden="1">
      <c r="A4" s="21">
        <v>46177</v>
      </c>
      <c r="B4" s="1">
        <v>2026</v>
      </c>
      <c r="C4" s="8" t="s">
        <v>21</v>
      </c>
      <c r="D4" s="8" t="s">
        <v>134</v>
      </c>
      <c r="E4" s="1"/>
      <c r="F4" s="1" t="s">
        <v>19</v>
      </c>
      <c r="G4" s="11" t="s">
        <v>135</v>
      </c>
      <c r="H4" s="8">
        <v>9578099893</v>
      </c>
      <c r="I4" s="10" t="s">
        <v>25</v>
      </c>
      <c r="J4" s="18" t="s">
        <v>136</v>
      </c>
      <c r="K4" s="8" t="s">
        <v>22</v>
      </c>
      <c r="L4" s="8" t="s">
        <v>23</v>
      </c>
      <c r="M4" s="2" t="s">
        <v>126</v>
      </c>
      <c r="N4" s="1" t="s">
        <v>127</v>
      </c>
      <c r="O4" s="11">
        <v>590</v>
      </c>
      <c r="P4" s="2" t="s">
        <v>144</v>
      </c>
      <c r="Q4" s="12" t="str">
        <f t="shared" ref="Q4:Q32" si="4">MID(P4,5,2)</f>
        <v>24</v>
      </c>
      <c r="R4" s="12" t="str">
        <f t="shared" ref="R4:R32" si="5">MID(P4,7,2)</f>
        <v>10</v>
      </c>
      <c r="S4" s="6" t="s">
        <v>140</v>
      </c>
      <c r="T4" s="1" t="s">
        <v>141</v>
      </c>
      <c r="U4" s="6" t="s">
        <v>145</v>
      </c>
      <c r="V4" s="6" t="s">
        <v>132</v>
      </c>
      <c r="W4" s="1" t="s">
        <v>133</v>
      </c>
      <c r="X4" s="5">
        <v>46204</v>
      </c>
      <c r="Y4" s="1">
        <f t="shared" ref="Y4:Y32" si="6">X4-A4</f>
        <v>27</v>
      </c>
      <c r="Z4" s="5">
        <v>46204</v>
      </c>
      <c r="AA4" s="3"/>
      <c r="AB4" s="3"/>
      <c r="AD4" s="133" t="str">
        <f t="shared" si="3"/>
        <v>Closed In July</v>
      </c>
    </row>
    <row r="5" spans="1:30" hidden="1">
      <c r="A5" s="21">
        <v>46177</v>
      </c>
      <c r="B5" s="1">
        <v>2026</v>
      </c>
      <c r="C5" s="8" t="s">
        <v>21</v>
      </c>
      <c r="D5" s="8" t="s">
        <v>134</v>
      </c>
      <c r="E5" s="1"/>
      <c r="F5" s="1" t="s">
        <v>19</v>
      </c>
      <c r="G5" s="11" t="s">
        <v>135</v>
      </c>
      <c r="H5" s="8">
        <v>9578099893</v>
      </c>
      <c r="I5" s="10" t="s">
        <v>25</v>
      </c>
      <c r="J5" s="18" t="s">
        <v>136</v>
      </c>
      <c r="K5" s="8" t="s">
        <v>22</v>
      </c>
      <c r="L5" s="8" t="s">
        <v>23</v>
      </c>
      <c r="M5" s="2" t="s">
        <v>146</v>
      </c>
      <c r="N5" s="1" t="s">
        <v>138</v>
      </c>
      <c r="O5" s="11">
        <v>590</v>
      </c>
      <c r="P5" s="2" t="s">
        <v>147</v>
      </c>
      <c r="Q5" s="12" t="str">
        <f t="shared" si="4"/>
        <v>24</v>
      </c>
      <c r="R5" s="12" t="str">
        <f t="shared" si="5"/>
        <v>10</v>
      </c>
      <c r="S5" s="6" t="s">
        <v>140</v>
      </c>
      <c r="T5" s="1" t="s">
        <v>141</v>
      </c>
      <c r="U5" s="1" t="s">
        <v>148</v>
      </c>
      <c r="V5" s="1" t="s">
        <v>143</v>
      </c>
      <c r="W5" s="1" t="s">
        <v>133</v>
      </c>
      <c r="X5" s="5">
        <v>46204</v>
      </c>
      <c r="Y5" s="1">
        <f t="shared" si="6"/>
        <v>27</v>
      </c>
      <c r="Z5" s="5">
        <v>46204</v>
      </c>
      <c r="AA5" s="3"/>
      <c r="AB5" s="3"/>
      <c r="AD5" s="133" t="str">
        <f t="shared" si="3"/>
        <v>Closed In July</v>
      </c>
    </row>
    <row r="6" spans="1:30" hidden="1">
      <c r="A6" s="21">
        <v>46177</v>
      </c>
      <c r="B6" s="1">
        <v>2026</v>
      </c>
      <c r="C6" s="8" t="s">
        <v>21</v>
      </c>
      <c r="D6" s="8" t="s">
        <v>134</v>
      </c>
      <c r="E6" s="1"/>
      <c r="F6" s="1" t="s">
        <v>19</v>
      </c>
      <c r="G6" s="11" t="s">
        <v>135</v>
      </c>
      <c r="H6" s="8">
        <v>9578099893</v>
      </c>
      <c r="I6" s="10" t="s">
        <v>25</v>
      </c>
      <c r="J6" s="18" t="s">
        <v>136</v>
      </c>
      <c r="K6" s="8" t="s">
        <v>22</v>
      </c>
      <c r="L6" s="8" t="s">
        <v>23</v>
      </c>
      <c r="M6" s="2" t="s">
        <v>146</v>
      </c>
      <c r="N6" s="1" t="s">
        <v>138</v>
      </c>
      <c r="O6" s="11">
        <v>590</v>
      </c>
      <c r="P6" s="2" t="s">
        <v>149</v>
      </c>
      <c r="Q6" s="12" t="str">
        <f t="shared" si="4"/>
        <v>24</v>
      </c>
      <c r="R6" s="12" t="str">
        <f t="shared" si="5"/>
        <v>10</v>
      </c>
      <c r="S6" s="6" t="s">
        <v>140</v>
      </c>
      <c r="T6" s="1" t="s">
        <v>141</v>
      </c>
      <c r="U6" s="1" t="s">
        <v>148</v>
      </c>
      <c r="V6" s="1" t="s">
        <v>143</v>
      </c>
      <c r="W6" s="1" t="s">
        <v>133</v>
      </c>
      <c r="X6" s="5">
        <v>46204</v>
      </c>
      <c r="Y6" s="1">
        <f t="shared" si="6"/>
        <v>27</v>
      </c>
      <c r="Z6" s="5">
        <v>46204</v>
      </c>
      <c r="AA6" s="3"/>
      <c r="AB6" s="3"/>
      <c r="AD6" s="133" t="str">
        <f t="shared" si="3"/>
        <v>Closed In July</v>
      </c>
    </row>
    <row r="7" spans="1:30" hidden="1">
      <c r="A7" s="21">
        <v>46177</v>
      </c>
      <c r="B7" s="1">
        <v>2026</v>
      </c>
      <c r="C7" s="8" t="s">
        <v>21</v>
      </c>
      <c r="D7" s="8" t="s">
        <v>134</v>
      </c>
      <c r="E7" s="1"/>
      <c r="F7" s="1" t="s">
        <v>19</v>
      </c>
      <c r="G7" s="11" t="s">
        <v>135</v>
      </c>
      <c r="H7" s="8">
        <v>9578099893</v>
      </c>
      <c r="I7" s="10" t="s">
        <v>25</v>
      </c>
      <c r="J7" s="18" t="s">
        <v>136</v>
      </c>
      <c r="K7" s="8" t="s">
        <v>22</v>
      </c>
      <c r="L7" s="8" t="s">
        <v>23</v>
      </c>
      <c r="M7" s="2" t="s">
        <v>146</v>
      </c>
      <c r="N7" s="1" t="s">
        <v>138</v>
      </c>
      <c r="O7" s="11">
        <v>590</v>
      </c>
      <c r="P7" s="2" t="s">
        <v>150</v>
      </c>
      <c r="Q7" s="12" t="str">
        <f t="shared" si="4"/>
        <v>24</v>
      </c>
      <c r="R7" s="12" t="str">
        <f t="shared" si="5"/>
        <v>10</v>
      </c>
      <c r="S7" s="6" t="s">
        <v>140</v>
      </c>
      <c r="T7" s="1" t="s">
        <v>141</v>
      </c>
      <c r="U7" s="1" t="s">
        <v>148</v>
      </c>
      <c r="V7" s="1" t="s">
        <v>143</v>
      </c>
      <c r="W7" s="1" t="s">
        <v>133</v>
      </c>
      <c r="X7" s="5">
        <v>46204</v>
      </c>
      <c r="Y7" s="1">
        <f t="shared" si="6"/>
        <v>27</v>
      </c>
      <c r="Z7" s="5">
        <v>46204</v>
      </c>
      <c r="AA7" s="3"/>
      <c r="AB7" s="3"/>
      <c r="AD7" s="133" t="str">
        <f t="shared" si="3"/>
        <v>Closed In July</v>
      </c>
    </row>
    <row r="8" spans="1:30" hidden="1">
      <c r="A8" s="21">
        <v>46177</v>
      </c>
      <c r="B8" s="1">
        <v>2026</v>
      </c>
      <c r="C8" s="8" t="s">
        <v>21</v>
      </c>
      <c r="D8" s="8" t="s">
        <v>134</v>
      </c>
      <c r="E8" s="1"/>
      <c r="F8" s="1" t="s">
        <v>19</v>
      </c>
      <c r="G8" s="11" t="s">
        <v>135</v>
      </c>
      <c r="H8" s="8">
        <v>9578099893</v>
      </c>
      <c r="I8" s="10" t="s">
        <v>25</v>
      </c>
      <c r="J8" s="18" t="s">
        <v>136</v>
      </c>
      <c r="K8" s="8" t="s">
        <v>22</v>
      </c>
      <c r="L8" s="8" t="s">
        <v>23</v>
      </c>
      <c r="M8" s="2" t="s">
        <v>137</v>
      </c>
      <c r="N8" s="1" t="s">
        <v>138</v>
      </c>
      <c r="O8" s="11">
        <v>590</v>
      </c>
      <c r="P8" s="2" t="s">
        <v>151</v>
      </c>
      <c r="Q8" s="12" t="str">
        <f t="shared" si="4"/>
        <v>24</v>
      </c>
      <c r="R8" s="12" t="str">
        <f t="shared" si="5"/>
        <v>10</v>
      </c>
      <c r="S8" s="6" t="s">
        <v>140</v>
      </c>
      <c r="T8" s="1" t="s">
        <v>141</v>
      </c>
      <c r="U8" s="6" t="s">
        <v>142</v>
      </c>
      <c r="V8" s="6" t="s">
        <v>143</v>
      </c>
      <c r="W8" s="1" t="s">
        <v>133</v>
      </c>
      <c r="X8" s="5">
        <v>46204</v>
      </c>
      <c r="Y8" s="1">
        <f t="shared" si="6"/>
        <v>27</v>
      </c>
      <c r="Z8" s="5">
        <v>46204</v>
      </c>
      <c r="AA8" s="3"/>
      <c r="AB8" s="3"/>
      <c r="AD8" s="133" t="str">
        <f t="shared" si="3"/>
        <v>Closed In July</v>
      </c>
    </row>
    <row r="9" spans="1:30" hidden="1">
      <c r="A9" s="21">
        <v>46177</v>
      </c>
      <c r="B9" s="1">
        <v>2026</v>
      </c>
      <c r="C9" s="8" t="s">
        <v>21</v>
      </c>
      <c r="D9" s="8" t="s">
        <v>134</v>
      </c>
      <c r="E9" s="1"/>
      <c r="F9" s="1" t="s">
        <v>19</v>
      </c>
      <c r="G9" s="11" t="s">
        <v>135</v>
      </c>
      <c r="H9" s="8">
        <v>9578099893</v>
      </c>
      <c r="I9" s="10" t="s">
        <v>25</v>
      </c>
      <c r="J9" s="18" t="s">
        <v>136</v>
      </c>
      <c r="K9" s="8" t="s">
        <v>22</v>
      </c>
      <c r="L9" s="8" t="s">
        <v>23</v>
      </c>
      <c r="M9" s="2" t="s">
        <v>152</v>
      </c>
      <c r="N9" s="1" t="s">
        <v>138</v>
      </c>
      <c r="O9" s="11">
        <v>590</v>
      </c>
      <c r="P9" s="2" t="s">
        <v>153</v>
      </c>
      <c r="Q9" s="12" t="str">
        <f t="shared" si="4"/>
        <v>24</v>
      </c>
      <c r="R9" s="12" t="str">
        <f t="shared" si="5"/>
        <v>11</v>
      </c>
      <c r="S9" s="6" t="s">
        <v>140</v>
      </c>
      <c r="T9" s="1" t="s">
        <v>141</v>
      </c>
      <c r="U9" s="1" t="s">
        <v>154</v>
      </c>
      <c r="V9" s="1" t="s">
        <v>143</v>
      </c>
      <c r="W9" s="1" t="s">
        <v>133</v>
      </c>
      <c r="X9" s="5">
        <v>46204</v>
      </c>
      <c r="Y9" s="1">
        <f>DATEDIF(A9,X9,"D")</f>
        <v>27</v>
      </c>
      <c r="Z9" s="5">
        <v>46204</v>
      </c>
      <c r="AA9" s="3"/>
      <c r="AB9" s="3"/>
      <c r="AD9" s="133" t="str">
        <f t="shared" si="3"/>
        <v>Closed In July</v>
      </c>
    </row>
    <row r="10" spans="1:30" hidden="1">
      <c r="A10" s="21">
        <v>46177</v>
      </c>
      <c r="B10" s="1">
        <v>2026</v>
      </c>
      <c r="C10" s="8" t="s">
        <v>21</v>
      </c>
      <c r="D10" s="8" t="s">
        <v>134</v>
      </c>
      <c r="E10" s="1"/>
      <c r="F10" s="1" t="s">
        <v>19</v>
      </c>
      <c r="G10" s="11" t="s">
        <v>135</v>
      </c>
      <c r="H10" s="8">
        <v>9578099893</v>
      </c>
      <c r="I10" s="10" t="s">
        <v>25</v>
      </c>
      <c r="J10" s="18" t="s">
        <v>136</v>
      </c>
      <c r="K10" s="8" t="s">
        <v>22</v>
      </c>
      <c r="L10" s="8" t="s">
        <v>23</v>
      </c>
      <c r="M10" s="2" t="s">
        <v>137</v>
      </c>
      <c r="N10" s="1" t="s">
        <v>138</v>
      </c>
      <c r="O10" s="11">
        <v>590</v>
      </c>
      <c r="P10" s="2" t="s">
        <v>155</v>
      </c>
      <c r="Q10" s="12" t="str">
        <f t="shared" si="4"/>
        <v>24</v>
      </c>
      <c r="R10" s="12" t="str">
        <f t="shared" si="5"/>
        <v>10</v>
      </c>
      <c r="S10" s="6" t="s">
        <v>140</v>
      </c>
      <c r="T10" s="1" t="s">
        <v>141</v>
      </c>
      <c r="U10" s="6" t="s">
        <v>142</v>
      </c>
      <c r="V10" s="6" t="s">
        <v>143</v>
      </c>
      <c r="W10" s="1" t="s">
        <v>133</v>
      </c>
      <c r="X10" s="5">
        <v>46204</v>
      </c>
      <c r="Y10" s="1">
        <f t="shared" si="6"/>
        <v>27</v>
      </c>
      <c r="Z10" s="5">
        <v>46204</v>
      </c>
      <c r="AA10" s="3"/>
      <c r="AB10" s="3"/>
      <c r="AD10" s="133" t="str">
        <f t="shared" si="3"/>
        <v>Closed In July</v>
      </c>
    </row>
    <row r="11" spans="1:30" hidden="1">
      <c r="A11" s="21">
        <v>46177</v>
      </c>
      <c r="B11" s="1">
        <v>2026</v>
      </c>
      <c r="C11" s="8" t="s">
        <v>21</v>
      </c>
      <c r="D11" s="8" t="s">
        <v>134</v>
      </c>
      <c r="E11" s="1"/>
      <c r="F11" s="1" t="s">
        <v>19</v>
      </c>
      <c r="G11" s="11" t="s">
        <v>135</v>
      </c>
      <c r="H11" s="8">
        <v>9578099893</v>
      </c>
      <c r="I11" s="10" t="s">
        <v>25</v>
      </c>
      <c r="J11" s="18" t="s">
        <v>136</v>
      </c>
      <c r="K11" s="8" t="s">
        <v>22</v>
      </c>
      <c r="L11" s="8" t="s">
        <v>23</v>
      </c>
      <c r="M11" s="2" t="s">
        <v>146</v>
      </c>
      <c r="N11" s="1" t="s">
        <v>138</v>
      </c>
      <c r="O11" s="11">
        <v>590</v>
      </c>
      <c r="P11" s="2" t="s">
        <v>156</v>
      </c>
      <c r="Q11" s="12" t="str">
        <f t="shared" si="4"/>
        <v>24</v>
      </c>
      <c r="R11" s="12" t="str">
        <f t="shared" si="5"/>
        <v>11</v>
      </c>
      <c r="S11" s="6" t="s">
        <v>140</v>
      </c>
      <c r="T11" s="1" t="s">
        <v>141</v>
      </c>
      <c r="U11" s="1" t="s">
        <v>148</v>
      </c>
      <c r="V11" s="1" t="s">
        <v>143</v>
      </c>
      <c r="W11" s="1" t="s">
        <v>133</v>
      </c>
      <c r="X11" s="5">
        <v>46204</v>
      </c>
      <c r="Y11" s="1">
        <f t="shared" si="6"/>
        <v>27</v>
      </c>
      <c r="Z11" s="5">
        <v>46204</v>
      </c>
      <c r="AA11" s="3"/>
      <c r="AB11" s="3"/>
      <c r="AD11" s="133" t="str">
        <f t="shared" si="3"/>
        <v>Closed In July</v>
      </c>
    </row>
    <row r="12" spans="1:30" hidden="1">
      <c r="A12" s="21">
        <v>46177</v>
      </c>
      <c r="B12" s="1">
        <v>2026</v>
      </c>
      <c r="C12" s="8" t="s">
        <v>21</v>
      </c>
      <c r="D12" s="8" t="s">
        <v>134</v>
      </c>
      <c r="E12" s="1"/>
      <c r="F12" s="1" t="s">
        <v>19</v>
      </c>
      <c r="G12" s="11" t="s">
        <v>135</v>
      </c>
      <c r="H12" s="8">
        <v>9578099893</v>
      </c>
      <c r="I12" s="10" t="s">
        <v>25</v>
      </c>
      <c r="J12" s="18" t="s">
        <v>136</v>
      </c>
      <c r="K12" s="8" t="s">
        <v>22</v>
      </c>
      <c r="L12" s="8" t="s">
        <v>23</v>
      </c>
      <c r="M12" s="2" t="s">
        <v>146</v>
      </c>
      <c r="N12" s="1" t="s">
        <v>138</v>
      </c>
      <c r="O12" s="11">
        <v>590</v>
      </c>
      <c r="P12" s="2" t="s">
        <v>157</v>
      </c>
      <c r="Q12" s="12" t="str">
        <f t="shared" si="4"/>
        <v>24</v>
      </c>
      <c r="R12" s="12" t="str">
        <f t="shared" si="5"/>
        <v>10</v>
      </c>
      <c r="S12" s="6" t="s">
        <v>140</v>
      </c>
      <c r="T12" s="1" t="s">
        <v>141</v>
      </c>
      <c r="U12" s="1" t="s">
        <v>148</v>
      </c>
      <c r="V12" s="1" t="s">
        <v>143</v>
      </c>
      <c r="W12" s="1" t="s">
        <v>133</v>
      </c>
      <c r="X12" s="5">
        <v>46204</v>
      </c>
      <c r="Y12" s="1">
        <f t="shared" si="6"/>
        <v>27</v>
      </c>
      <c r="Z12" s="5">
        <v>46204</v>
      </c>
      <c r="AA12" s="3"/>
      <c r="AB12" s="3"/>
      <c r="AD12" s="133" t="str">
        <f t="shared" si="3"/>
        <v>Closed In July</v>
      </c>
    </row>
    <row r="13" spans="1:30" hidden="1">
      <c r="A13" s="21">
        <v>46177</v>
      </c>
      <c r="B13" s="1">
        <v>2026</v>
      </c>
      <c r="C13" s="8" t="s">
        <v>21</v>
      </c>
      <c r="D13" s="8" t="s">
        <v>134</v>
      </c>
      <c r="E13" s="1"/>
      <c r="F13" s="1" t="s">
        <v>19</v>
      </c>
      <c r="G13" s="11" t="s">
        <v>135</v>
      </c>
      <c r="H13" s="8">
        <v>9578099893</v>
      </c>
      <c r="I13" s="10" t="s">
        <v>25</v>
      </c>
      <c r="J13" s="18" t="s">
        <v>136</v>
      </c>
      <c r="K13" s="8" t="s">
        <v>22</v>
      </c>
      <c r="L13" s="8" t="s">
        <v>23</v>
      </c>
      <c r="M13" s="2" t="s">
        <v>137</v>
      </c>
      <c r="N13" s="1" t="s">
        <v>138</v>
      </c>
      <c r="O13" s="11">
        <v>590</v>
      </c>
      <c r="P13" s="2" t="s">
        <v>158</v>
      </c>
      <c r="Q13" s="12" t="str">
        <f t="shared" si="4"/>
        <v>24</v>
      </c>
      <c r="R13" s="12" t="str">
        <f t="shared" si="5"/>
        <v>11</v>
      </c>
      <c r="S13" s="6" t="s">
        <v>140</v>
      </c>
      <c r="T13" s="1" t="s">
        <v>141</v>
      </c>
      <c r="U13" s="6" t="s">
        <v>142</v>
      </c>
      <c r="V13" s="6" t="s">
        <v>143</v>
      </c>
      <c r="W13" s="1" t="s">
        <v>133</v>
      </c>
      <c r="X13" s="5">
        <v>46204</v>
      </c>
      <c r="Y13" s="1">
        <f t="shared" si="6"/>
        <v>27</v>
      </c>
      <c r="Z13" s="5">
        <v>46204</v>
      </c>
      <c r="AA13" s="3"/>
      <c r="AB13" s="3"/>
      <c r="AD13" s="133" t="str">
        <f t="shared" si="3"/>
        <v>Closed In July</v>
      </c>
    </row>
    <row r="14" spans="1:30" hidden="1">
      <c r="A14" s="21">
        <v>46177</v>
      </c>
      <c r="B14" s="1">
        <v>2026</v>
      </c>
      <c r="C14" s="8" t="s">
        <v>21</v>
      </c>
      <c r="D14" s="8" t="s">
        <v>134</v>
      </c>
      <c r="E14" s="1"/>
      <c r="F14" s="1" t="s">
        <v>19</v>
      </c>
      <c r="G14" s="11" t="s">
        <v>135</v>
      </c>
      <c r="H14" s="8">
        <v>9578099893</v>
      </c>
      <c r="I14" s="10" t="s">
        <v>25</v>
      </c>
      <c r="J14" s="18" t="s">
        <v>136</v>
      </c>
      <c r="K14" s="8" t="s">
        <v>22</v>
      </c>
      <c r="L14" s="8" t="s">
        <v>23</v>
      </c>
      <c r="M14" s="2" t="s">
        <v>137</v>
      </c>
      <c r="N14" s="1" t="s">
        <v>138</v>
      </c>
      <c r="O14" s="11">
        <v>590</v>
      </c>
      <c r="P14" s="2" t="s">
        <v>159</v>
      </c>
      <c r="Q14" s="12" t="str">
        <f t="shared" si="4"/>
        <v>24</v>
      </c>
      <c r="R14" s="12" t="str">
        <f t="shared" si="5"/>
        <v>11</v>
      </c>
      <c r="S14" s="6" t="s">
        <v>140</v>
      </c>
      <c r="T14" s="1" t="s">
        <v>141</v>
      </c>
      <c r="U14" s="6" t="s">
        <v>142</v>
      </c>
      <c r="V14" s="6" t="s">
        <v>143</v>
      </c>
      <c r="W14" s="1" t="s">
        <v>133</v>
      </c>
      <c r="X14" s="5">
        <v>46204</v>
      </c>
      <c r="Y14" s="1">
        <f t="shared" si="6"/>
        <v>27</v>
      </c>
      <c r="Z14" s="5">
        <v>46204</v>
      </c>
      <c r="AA14" s="3"/>
      <c r="AB14" s="3"/>
      <c r="AD14" s="133" t="str">
        <f t="shared" si="3"/>
        <v>Closed In July</v>
      </c>
    </row>
    <row r="15" spans="1:30" hidden="1">
      <c r="A15" s="21">
        <v>46177</v>
      </c>
      <c r="B15" s="1">
        <v>2026</v>
      </c>
      <c r="C15" s="8" t="s">
        <v>21</v>
      </c>
      <c r="D15" s="8" t="s">
        <v>134</v>
      </c>
      <c r="E15" s="1"/>
      <c r="F15" s="1" t="s">
        <v>19</v>
      </c>
      <c r="G15" s="11" t="s">
        <v>135</v>
      </c>
      <c r="H15" s="8">
        <v>9578099893</v>
      </c>
      <c r="I15" s="10" t="s">
        <v>25</v>
      </c>
      <c r="J15" s="18" t="s">
        <v>136</v>
      </c>
      <c r="K15" s="8" t="s">
        <v>22</v>
      </c>
      <c r="L15" s="8" t="s">
        <v>23</v>
      </c>
      <c r="M15" s="2" t="s">
        <v>137</v>
      </c>
      <c r="N15" s="1" t="s">
        <v>138</v>
      </c>
      <c r="O15" s="11">
        <v>590</v>
      </c>
      <c r="P15" s="2" t="s">
        <v>160</v>
      </c>
      <c r="Q15" s="12" t="str">
        <f t="shared" si="4"/>
        <v>24</v>
      </c>
      <c r="R15" s="12" t="str">
        <f t="shared" si="5"/>
        <v>11</v>
      </c>
      <c r="S15" s="6" t="s">
        <v>140</v>
      </c>
      <c r="T15" s="1" t="s">
        <v>141</v>
      </c>
      <c r="U15" s="6" t="s">
        <v>142</v>
      </c>
      <c r="V15" s="6" t="s">
        <v>143</v>
      </c>
      <c r="W15" s="1" t="s">
        <v>133</v>
      </c>
      <c r="X15" s="5">
        <v>46204</v>
      </c>
      <c r="Y15" s="1">
        <f t="shared" si="6"/>
        <v>27</v>
      </c>
      <c r="Z15" s="5">
        <v>46204</v>
      </c>
      <c r="AA15" s="3"/>
      <c r="AB15" s="3"/>
      <c r="AD15" s="133" t="str">
        <f t="shared" si="3"/>
        <v>Closed In July</v>
      </c>
    </row>
    <row r="16" spans="1:30" hidden="1">
      <c r="A16" s="21">
        <v>46177</v>
      </c>
      <c r="B16" s="1">
        <v>2026</v>
      </c>
      <c r="C16" s="8" t="s">
        <v>21</v>
      </c>
      <c r="D16" s="8" t="s">
        <v>134</v>
      </c>
      <c r="E16" s="1"/>
      <c r="F16" s="1" t="s">
        <v>19</v>
      </c>
      <c r="G16" s="11" t="s">
        <v>135</v>
      </c>
      <c r="H16" s="8">
        <v>9578099893</v>
      </c>
      <c r="I16" s="10" t="s">
        <v>25</v>
      </c>
      <c r="J16" s="18" t="s">
        <v>136</v>
      </c>
      <c r="K16" s="8" t="s">
        <v>22</v>
      </c>
      <c r="L16" s="8" t="s">
        <v>23</v>
      </c>
      <c r="M16" s="2" t="s">
        <v>146</v>
      </c>
      <c r="N16" s="1" t="s">
        <v>138</v>
      </c>
      <c r="O16" s="11">
        <v>590</v>
      </c>
      <c r="P16" s="2" t="s">
        <v>161</v>
      </c>
      <c r="Q16" s="12" t="str">
        <f t="shared" si="4"/>
        <v>24</v>
      </c>
      <c r="R16" s="12" t="str">
        <f t="shared" si="5"/>
        <v>10</v>
      </c>
      <c r="S16" s="6" t="s">
        <v>140</v>
      </c>
      <c r="T16" s="1" t="s">
        <v>141</v>
      </c>
      <c r="U16" s="1" t="s">
        <v>148</v>
      </c>
      <c r="V16" s="1" t="s">
        <v>143</v>
      </c>
      <c r="W16" s="1" t="s">
        <v>133</v>
      </c>
      <c r="X16" s="5">
        <v>46204</v>
      </c>
      <c r="Y16" s="1">
        <f t="shared" si="6"/>
        <v>27</v>
      </c>
      <c r="Z16" s="5">
        <v>46204</v>
      </c>
      <c r="AA16" s="3"/>
      <c r="AB16" s="3"/>
      <c r="AD16" s="133" t="str">
        <f t="shared" si="3"/>
        <v>Closed In July</v>
      </c>
    </row>
    <row r="17" spans="1:30" hidden="1">
      <c r="A17" s="21">
        <v>46177</v>
      </c>
      <c r="B17" s="1">
        <v>2026</v>
      </c>
      <c r="C17" s="8" t="s">
        <v>21</v>
      </c>
      <c r="D17" s="8" t="s">
        <v>134</v>
      </c>
      <c r="E17" s="1"/>
      <c r="F17" s="1" t="s">
        <v>19</v>
      </c>
      <c r="G17" s="11" t="s">
        <v>135</v>
      </c>
      <c r="H17" s="8">
        <v>9578099893</v>
      </c>
      <c r="I17" s="10" t="s">
        <v>25</v>
      </c>
      <c r="J17" s="18" t="s">
        <v>136</v>
      </c>
      <c r="K17" s="8" t="s">
        <v>22</v>
      </c>
      <c r="L17" s="8" t="s">
        <v>23</v>
      </c>
      <c r="M17" s="2" t="s">
        <v>146</v>
      </c>
      <c r="N17" s="1" t="s">
        <v>138</v>
      </c>
      <c r="O17" s="11">
        <v>590</v>
      </c>
      <c r="P17" s="2" t="s">
        <v>162</v>
      </c>
      <c r="Q17" s="12" t="str">
        <f t="shared" si="4"/>
        <v>24</v>
      </c>
      <c r="R17" s="12" t="str">
        <f t="shared" si="5"/>
        <v>10</v>
      </c>
      <c r="S17" s="6" t="s">
        <v>140</v>
      </c>
      <c r="T17" s="1" t="s">
        <v>141</v>
      </c>
      <c r="U17" s="1" t="s">
        <v>148</v>
      </c>
      <c r="V17" s="1" t="s">
        <v>143</v>
      </c>
      <c r="W17" s="1" t="s">
        <v>133</v>
      </c>
      <c r="X17" s="5">
        <v>46204</v>
      </c>
      <c r="Y17" s="1">
        <f t="shared" si="6"/>
        <v>27</v>
      </c>
      <c r="Z17" s="5">
        <v>46204</v>
      </c>
      <c r="AA17" s="3"/>
      <c r="AB17" s="3"/>
      <c r="AD17" s="133" t="str">
        <f t="shared" si="3"/>
        <v>Closed In July</v>
      </c>
    </row>
    <row r="18" spans="1:30" hidden="1">
      <c r="A18" s="21">
        <v>46177</v>
      </c>
      <c r="B18" s="1">
        <v>2026</v>
      </c>
      <c r="C18" s="8" t="s">
        <v>21</v>
      </c>
      <c r="D18" s="8" t="s">
        <v>134</v>
      </c>
      <c r="E18" s="1"/>
      <c r="F18" s="1" t="s">
        <v>19</v>
      </c>
      <c r="G18" s="11" t="s">
        <v>135</v>
      </c>
      <c r="H18" s="8">
        <v>9578099893</v>
      </c>
      <c r="I18" s="10" t="s">
        <v>25</v>
      </c>
      <c r="J18" s="18" t="s">
        <v>136</v>
      </c>
      <c r="K18" s="8" t="s">
        <v>22</v>
      </c>
      <c r="L18" s="8" t="s">
        <v>23</v>
      </c>
      <c r="M18" s="2" t="s">
        <v>146</v>
      </c>
      <c r="N18" s="1" t="s">
        <v>138</v>
      </c>
      <c r="O18" s="11">
        <v>590</v>
      </c>
      <c r="P18" s="2" t="s">
        <v>163</v>
      </c>
      <c r="Q18" s="12" t="str">
        <f t="shared" si="4"/>
        <v>24</v>
      </c>
      <c r="R18" s="12" t="str">
        <f t="shared" si="5"/>
        <v>10</v>
      </c>
      <c r="S18" s="6" t="s">
        <v>140</v>
      </c>
      <c r="T18" s="1" t="s">
        <v>141</v>
      </c>
      <c r="U18" s="1" t="s">
        <v>148</v>
      </c>
      <c r="V18" s="1" t="s">
        <v>143</v>
      </c>
      <c r="W18" s="1" t="s">
        <v>133</v>
      </c>
      <c r="X18" s="5">
        <v>46204</v>
      </c>
      <c r="Y18" s="1">
        <f t="shared" si="6"/>
        <v>27</v>
      </c>
      <c r="Z18" s="5">
        <v>46204</v>
      </c>
      <c r="AA18" s="3"/>
      <c r="AB18" s="3"/>
      <c r="AD18" s="133" t="str">
        <f t="shared" si="3"/>
        <v>Closed In July</v>
      </c>
    </row>
    <row r="19" spans="1:30" hidden="1">
      <c r="A19" s="21">
        <v>46177</v>
      </c>
      <c r="B19" s="1">
        <v>2026</v>
      </c>
      <c r="C19" s="8" t="s">
        <v>21</v>
      </c>
      <c r="D19" s="8" t="s">
        <v>134</v>
      </c>
      <c r="E19" s="1"/>
      <c r="F19" s="1" t="s">
        <v>19</v>
      </c>
      <c r="G19" s="11" t="s">
        <v>135</v>
      </c>
      <c r="H19" s="8">
        <v>9578099893</v>
      </c>
      <c r="I19" s="10" t="s">
        <v>25</v>
      </c>
      <c r="J19" s="18" t="s">
        <v>136</v>
      </c>
      <c r="K19" s="8" t="s">
        <v>22</v>
      </c>
      <c r="L19" s="8" t="s">
        <v>23</v>
      </c>
      <c r="M19" s="2" t="s">
        <v>146</v>
      </c>
      <c r="N19" s="1" t="s">
        <v>138</v>
      </c>
      <c r="O19" s="11">
        <v>590</v>
      </c>
      <c r="P19" s="2" t="s">
        <v>164</v>
      </c>
      <c r="Q19" s="12" t="str">
        <f t="shared" si="4"/>
        <v>24</v>
      </c>
      <c r="R19" s="12" t="str">
        <f t="shared" si="5"/>
        <v>10</v>
      </c>
      <c r="S19" s="6" t="s">
        <v>140</v>
      </c>
      <c r="T19" s="1" t="s">
        <v>141</v>
      </c>
      <c r="U19" s="1" t="s">
        <v>148</v>
      </c>
      <c r="V19" s="1" t="s">
        <v>143</v>
      </c>
      <c r="W19" s="1" t="s">
        <v>133</v>
      </c>
      <c r="X19" s="5">
        <v>46204</v>
      </c>
      <c r="Y19" s="1">
        <f t="shared" si="6"/>
        <v>27</v>
      </c>
      <c r="Z19" s="5">
        <v>46204</v>
      </c>
      <c r="AA19" s="3"/>
      <c r="AB19" s="3"/>
      <c r="AD19" s="133" t="str">
        <f t="shared" si="3"/>
        <v>Closed In July</v>
      </c>
    </row>
    <row r="20" spans="1:30" hidden="1">
      <c r="A20" s="21">
        <v>46177</v>
      </c>
      <c r="B20" s="1">
        <v>2026</v>
      </c>
      <c r="C20" s="8" t="s">
        <v>21</v>
      </c>
      <c r="D20" s="8" t="s">
        <v>134</v>
      </c>
      <c r="E20" s="1"/>
      <c r="F20" s="1" t="s">
        <v>19</v>
      </c>
      <c r="G20" s="11" t="s">
        <v>135</v>
      </c>
      <c r="H20" s="8">
        <v>9578099893</v>
      </c>
      <c r="I20" s="10" t="s">
        <v>25</v>
      </c>
      <c r="J20" s="18" t="s">
        <v>136</v>
      </c>
      <c r="K20" s="8" t="s">
        <v>22</v>
      </c>
      <c r="L20" s="8" t="s">
        <v>23</v>
      </c>
      <c r="M20" s="2" t="s">
        <v>146</v>
      </c>
      <c r="N20" s="1" t="s">
        <v>138</v>
      </c>
      <c r="O20" s="11">
        <v>590</v>
      </c>
      <c r="P20" s="2" t="s">
        <v>165</v>
      </c>
      <c r="Q20" s="12" t="str">
        <f t="shared" si="4"/>
        <v>24</v>
      </c>
      <c r="R20" s="12" t="str">
        <f t="shared" si="5"/>
        <v>10</v>
      </c>
      <c r="S20" s="6" t="s">
        <v>140</v>
      </c>
      <c r="T20" s="1" t="s">
        <v>141</v>
      </c>
      <c r="U20" s="1" t="s">
        <v>148</v>
      </c>
      <c r="V20" s="1" t="s">
        <v>143</v>
      </c>
      <c r="W20" s="1" t="s">
        <v>133</v>
      </c>
      <c r="X20" s="5">
        <v>46204</v>
      </c>
      <c r="Y20" s="1">
        <f t="shared" si="6"/>
        <v>27</v>
      </c>
      <c r="Z20" s="5">
        <v>46204</v>
      </c>
      <c r="AA20" s="3"/>
      <c r="AB20" s="3"/>
      <c r="AD20" s="133" t="str">
        <f t="shared" si="3"/>
        <v>Closed In July</v>
      </c>
    </row>
    <row r="21" spans="1:30" hidden="1">
      <c r="A21" s="21">
        <v>46177</v>
      </c>
      <c r="B21" s="1">
        <v>2026</v>
      </c>
      <c r="C21" s="8" t="s">
        <v>21</v>
      </c>
      <c r="D21" s="8" t="s">
        <v>134</v>
      </c>
      <c r="E21" s="1"/>
      <c r="F21" s="1" t="s">
        <v>19</v>
      </c>
      <c r="G21" s="11" t="s">
        <v>135</v>
      </c>
      <c r="H21" s="8">
        <v>9578099893</v>
      </c>
      <c r="I21" s="10" t="s">
        <v>25</v>
      </c>
      <c r="J21" s="18" t="s">
        <v>136</v>
      </c>
      <c r="K21" s="8" t="s">
        <v>22</v>
      </c>
      <c r="L21" s="8" t="s">
        <v>23</v>
      </c>
      <c r="M21" s="2" t="s">
        <v>146</v>
      </c>
      <c r="N21" s="1" t="s">
        <v>138</v>
      </c>
      <c r="O21" s="11">
        <v>590</v>
      </c>
      <c r="P21" s="2" t="s">
        <v>166</v>
      </c>
      <c r="Q21" s="12" t="str">
        <f t="shared" si="4"/>
        <v>24</v>
      </c>
      <c r="R21" s="12" t="str">
        <f t="shared" si="5"/>
        <v>10</v>
      </c>
      <c r="S21" s="6" t="s">
        <v>140</v>
      </c>
      <c r="T21" s="1" t="s">
        <v>141</v>
      </c>
      <c r="U21" s="1" t="s">
        <v>148</v>
      </c>
      <c r="V21" s="1" t="s">
        <v>143</v>
      </c>
      <c r="W21" s="1" t="s">
        <v>133</v>
      </c>
      <c r="X21" s="5">
        <v>46204</v>
      </c>
      <c r="Y21" s="1">
        <f t="shared" si="6"/>
        <v>27</v>
      </c>
      <c r="Z21" s="5">
        <v>46204</v>
      </c>
      <c r="AA21" s="3"/>
      <c r="AB21" s="3"/>
      <c r="AD21" s="133" t="str">
        <f t="shared" si="3"/>
        <v>Closed In July</v>
      </c>
    </row>
    <row r="22" spans="1:30" hidden="1">
      <c r="A22" s="21">
        <v>46177</v>
      </c>
      <c r="B22" s="1">
        <v>2026</v>
      </c>
      <c r="C22" s="8" t="s">
        <v>21</v>
      </c>
      <c r="D22" s="8" t="s">
        <v>134</v>
      </c>
      <c r="E22" s="1"/>
      <c r="F22" s="1" t="s">
        <v>19</v>
      </c>
      <c r="G22" s="11" t="s">
        <v>135</v>
      </c>
      <c r="H22" s="8">
        <v>9578099893</v>
      </c>
      <c r="I22" s="10" t="s">
        <v>25</v>
      </c>
      <c r="J22" s="18" t="s">
        <v>136</v>
      </c>
      <c r="K22" s="8" t="s">
        <v>22</v>
      </c>
      <c r="L22" s="8" t="s">
        <v>23</v>
      </c>
      <c r="M22" s="2" t="s">
        <v>126</v>
      </c>
      <c r="N22" s="1" t="s">
        <v>127</v>
      </c>
      <c r="O22" s="11">
        <v>590</v>
      </c>
      <c r="P22" s="2" t="s">
        <v>167</v>
      </c>
      <c r="Q22" s="12" t="str">
        <f t="shared" si="4"/>
        <v>24</v>
      </c>
      <c r="R22" s="12" t="str">
        <f t="shared" si="5"/>
        <v>10</v>
      </c>
      <c r="S22" s="6" t="s">
        <v>140</v>
      </c>
      <c r="T22" s="1" t="s">
        <v>141</v>
      </c>
      <c r="U22" s="6" t="s">
        <v>145</v>
      </c>
      <c r="V22" s="6" t="s">
        <v>132</v>
      </c>
      <c r="W22" s="1" t="s">
        <v>133</v>
      </c>
      <c r="X22" s="5">
        <v>46204</v>
      </c>
      <c r="Y22" s="1">
        <f t="shared" si="6"/>
        <v>27</v>
      </c>
      <c r="Z22" s="5">
        <v>46204</v>
      </c>
      <c r="AA22" s="3"/>
      <c r="AB22" s="3"/>
      <c r="AD22" s="133" t="str">
        <f t="shared" si="3"/>
        <v>Closed In July</v>
      </c>
    </row>
    <row r="23" spans="1:30" hidden="1">
      <c r="A23" s="21">
        <v>46177</v>
      </c>
      <c r="B23" s="1">
        <v>2026</v>
      </c>
      <c r="C23" s="8" t="s">
        <v>21</v>
      </c>
      <c r="D23" s="8" t="s">
        <v>134</v>
      </c>
      <c r="E23" s="1"/>
      <c r="F23" s="1" t="s">
        <v>19</v>
      </c>
      <c r="G23" s="11" t="s">
        <v>135</v>
      </c>
      <c r="H23" s="8">
        <v>9578099893</v>
      </c>
      <c r="I23" s="10" t="s">
        <v>25</v>
      </c>
      <c r="J23" s="18" t="s">
        <v>136</v>
      </c>
      <c r="K23" s="8" t="s">
        <v>22</v>
      </c>
      <c r="L23" s="8" t="s">
        <v>23</v>
      </c>
      <c r="M23" s="2" t="s">
        <v>146</v>
      </c>
      <c r="N23" s="1" t="s">
        <v>138</v>
      </c>
      <c r="O23" s="11">
        <v>590</v>
      </c>
      <c r="P23" s="2" t="s">
        <v>168</v>
      </c>
      <c r="Q23" s="12" t="str">
        <f t="shared" si="4"/>
        <v>24</v>
      </c>
      <c r="R23" s="12" t="str">
        <f t="shared" si="5"/>
        <v>10</v>
      </c>
      <c r="S23" s="6" t="s">
        <v>140</v>
      </c>
      <c r="T23" s="1" t="s">
        <v>141</v>
      </c>
      <c r="U23" s="1" t="s">
        <v>148</v>
      </c>
      <c r="V23" s="1" t="s">
        <v>143</v>
      </c>
      <c r="W23" s="1" t="s">
        <v>133</v>
      </c>
      <c r="X23" s="5">
        <v>46204</v>
      </c>
      <c r="Y23" s="1">
        <f t="shared" si="6"/>
        <v>27</v>
      </c>
      <c r="Z23" s="5">
        <v>46204</v>
      </c>
      <c r="AA23" s="3"/>
      <c r="AB23" s="3"/>
      <c r="AD23" s="133" t="str">
        <f t="shared" si="3"/>
        <v>Closed In July</v>
      </c>
    </row>
    <row r="24" spans="1:30" hidden="1">
      <c r="A24" s="21">
        <v>46177</v>
      </c>
      <c r="B24" s="1">
        <v>2026</v>
      </c>
      <c r="C24" s="8" t="s">
        <v>21</v>
      </c>
      <c r="D24" s="8" t="s">
        <v>134</v>
      </c>
      <c r="E24" s="1"/>
      <c r="F24" s="1" t="s">
        <v>19</v>
      </c>
      <c r="G24" s="11" t="s">
        <v>135</v>
      </c>
      <c r="H24" s="8">
        <v>9578099893</v>
      </c>
      <c r="I24" s="10" t="s">
        <v>25</v>
      </c>
      <c r="J24" s="18" t="s">
        <v>136</v>
      </c>
      <c r="K24" s="8" t="s">
        <v>22</v>
      </c>
      <c r="L24" s="8" t="s">
        <v>23</v>
      </c>
      <c r="M24" s="2" t="s">
        <v>146</v>
      </c>
      <c r="N24" s="1" t="s">
        <v>138</v>
      </c>
      <c r="O24" s="11">
        <v>590</v>
      </c>
      <c r="P24" s="2" t="s">
        <v>169</v>
      </c>
      <c r="Q24" s="12" t="str">
        <f t="shared" si="4"/>
        <v>24</v>
      </c>
      <c r="R24" s="12" t="str">
        <f t="shared" si="5"/>
        <v>11</v>
      </c>
      <c r="S24" s="6" t="s">
        <v>140</v>
      </c>
      <c r="T24" s="1" t="s">
        <v>141</v>
      </c>
      <c r="U24" s="1" t="s">
        <v>148</v>
      </c>
      <c r="V24" s="1" t="s">
        <v>143</v>
      </c>
      <c r="W24" s="1" t="s">
        <v>133</v>
      </c>
      <c r="X24" s="5">
        <v>46204</v>
      </c>
      <c r="Y24" s="1">
        <f t="shared" si="6"/>
        <v>27</v>
      </c>
      <c r="Z24" s="5">
        <v>46204</v>
      </c>
      <c r="AA24" s="3"/>
      <c r="AB24" s="3"/>
      <c r="AD24" s="133" t="str">
        <f t="shared" si="3"/>
        <v>Closed In July</v>
      </c>
    </row>
    <row r="25" spans="1:30" hidden="1">
      <c r="A25" s="21">
        <v>46177</v>
      </c>
      <c r="B25" s="1">
        <v>2026</v>
      </c>
      <c r="C25" s="8" t="s">
        <v>21</v>
      </c>
      <c r="D25" s="8" t="s">
        <v>134</v>
      </c>
      <c r="E25" s="1"/>
      <c r="F25" s="1" t="s">
        <v>19</v>
      </c>
      <c r="G25" s="11" t="s">
        <v>135</v>
      </c>
      <c r="H25" s="8">
        <v>9578099893</v>
      </c>
      <c r="I25" s="10" t="s">
        <v>25</v>
      </c>
      <c r="J25" s="18" t="s">
        <v>136</v>
      </c>
      <c r="K25" s="8" t="s">
        <v>22</v>
      </c>
      <c r="L25" s="8" t="s">
        <v>23</v>
      </c>
      <c r="M25" s="2" t="s">
        <v>146</v>
      </c>
      <c r="N25" s="1" t="s">
        <v>138</v>
      </c>
      <c r="O25" s="11">
        <v>590</v>
      </c>
      <c r="P25" s="2" t="s">
        <v>170</v>
      </c>
      <c r="Q25" s="12" t="str">
        <f t="shared" si="4"/>
        <v>24</v>
      </c>
      <c r="R25" s="12" t="str">
        <f t="shared" si="5"/>
        <v>11</v>
      </c>
      <c r="S25" s="6" t="s">
        <v>140</v>
      </c>
      <c r="T25" s="1" t="s">
        <v>141</v>
      </c>
      <c r="U25" s="1" t="s">
        <v>148</v>
      </c>
      <c r="V25" s="1" t="s">
        <v>143</v>
      </c>
      <c r="W25" s="1" t="s">
        <v>133</v>
      </c>
      <c r="X25" s="5">
        <v>46204</v>
      </c>
      <c r="Y25" s="1">
        <f t="shared" si="6"/>
        <v>27</v>
      </c>
      <c r="Z25" s="5">
        <v>46204</v>
      </c>
      <c r="AA25" s="3"/>
      <c r="AB25" s="3"/>
      <c r="AD25" s="133" t="str">
        <f t="shared" si="3"/>
        <v>Closed In July</v>
      </c>
    </row>
    <row r="26" spans="1:30" hidden="1">
      <c r="A26" s="21">
        <v>46177</v>
      </c>
      <c r="B26" s="1">
        <v>2026</v>
      </c>
      <c r="C26" s="8" t="s">
        <v>21</v>
      </c>
      <c r="D26" s="8" t="s">
        <v>134</v>
      </c>
      <c r="E26" s="1"/>
      <c r="F26" s="1" t="s">
        <v>19</v>
      </c>
      <c r="G26" s="11" t="s">
        <v>135</v>
      </c>
      <c r="H26" s="8">
        <v>9578099893</v>
      </c>
      <c r="I26" s="10" t="s">
        <v>25</v>
      </c>
      <c r="J26" s="18" t="s">
        <v>136</v>
      </c>
      <c r="K26" s="8" t="s">
        <v>22</v>
      </c>
      <c r="L26" s="8" t="s">
        <v>23</v>
      </c>
      <c r="M26" s="2" t="s">
        <v>146</v>
      </c>
      <c r="N26" s="1" t="s">
        <v>138</v>
      </c>
      <c r="O26" s="11">
        <v>590</v>
      </c>
      <c r="P26" s="2" t="s">
        <v>171</v>
      </c>
      <c r="Q26" s="12" t="str">
        <f t="shared" si="4"/>
        <v>24</v>
      </c>
      <c r="R26" s="12" t="str">
        <f t="shared" si="5"/>
        <v>11</v>
      </c>
      <c r="S26" s="6" t="s">
        <v>140</v>
      </c>
      <c r="T26" s="1" t="s">
        <v>141</v>
      </c>
      <c r="U26" s="1" t="s">
        <v>148</v>
      </c>
      <c r="V26" s="1" t="s">
        <v>143</v>
      </c>
      <c r="W26" s="1" t="s">
        <v>133</v>
      </c>
      <c r="X26" s="5">
        <v>46204</v>
      </c>
      <c r="Y26" s="1">
        <f t="shared" si="6"/>
        <v>27</v>
      </c>
      <c r="Z26" s="5">
        <v>46204</v>
      </c>
      <c r="AA26" s="3"/>
      <c r="AB26" s="3"/>
      <c r="AD26" s="133" t="str">
        <f t="shared" si="3"/>
        <v>Closed In July</v>
      </c>
    </row>
    <row r="27" spans="1:30" hidden="1">
      <c r="A27" s="21">
        <v>46177</v>
      </c>
      <c r="B27" s="1">
        <v>2026</v>
      </c>
      <c r="C27" s="8" t="s">
        <v>21</v>
      </c>
      <c r="D27" s="8" t="s">
        <v>134</v>
      </c>
      <c r="E27" s="1"/>
      <c r="F27" s="1" t="s">
        <v>19</v>
      </c>
      <c r="G27" s="11" t="s">
        <v>135</v>
      </c>
      <c r="H27" s="8">
        <v>9578099893</v>
      </c>
      <c r="I27" s="10" t="s">
        <v>25</v>
      </c>
      <c r="J27" s="18" t="s">
        <v>136</v>
      </c>
      <c r="K27" s="8" t="s">
        <v>22</v>
      </c>
      <c r="L27" s="8" t="s">
        <v>23</v>
      </c>
      <c r="M27" s="2" t="s">
        <v>146</v>
      </c>
      <c r="N27" s="1" t="s">
        <v>138</v>
      </c>
      <c r="O27" s="11">
        <v>590</v>
      </c>
      <c r="P27" s="2" t="s">
        <v>172</v>
      </c>
      <c r="Q27" s="12" t="str">
        <f t="shared" si="4"/>
        <v>24</v>
      </c>
      <c r="R27" s="12" t="str">
        <f t="shared" si="5"/>
        <v>10</v>
      </c>
      <c r="S27" s="6" t="s">
        <v>140</v>
      </c>
      <c r="T27" s="1" t="s">
        <v>141</v>
      </c>
      <c r="U27" s="1" t="s">
        <v>148</v>
      </c>
      <c r="V27" s="1" t="s">
        <v>143</v>
      </c>
      <c r="W27" s="1" t="s">
        <v>133</v>
      </c>
      <c r="X27" s="5">
        <v>46204</v>
      </c>
      <c r="Y27" s="1">
        <f t="shared" si="6"/>
        <v>27</v>
      </c>
      <c r="Z27" s="5">
        <v>46204</v>
      </c>
      <c r="AA27" s="3"/>
      <c r="AB27" s="3"/>
      <c r="AD27" s="133" t="str">
        <f t="shared" si="3"/>
        <v>Closed In July</v>
      </c>
    </row>
    <row r="28" spans="1:30" hidden="1">
      <c r="A28" s="21">
        <v>46177</v>
      </c>
      <c r="B28" s="1">
        <v>2026</v>
      </c>
      <c r="C28" s="8" t="s">
        <v>21</v>
      </c>
      <c r="D28" s="8" t="s">
        <v>134</v>
      </c>
      <c r="E28" s="1"/>
      <c r="F28" s="1" t="s">
        <v>19</v>
      </c>
      <c r="G28" s="11" t="s">
        <v>135</v>
      </c>
      <c r="H28" s="8">
        <v>9578099893</v>
      </c>
      <c r="I28" s="10" t="s">
        <v>25</v>
      </c>
      <c r="J28" s="18" t="s">
        <v>136</v>
      </c>
      <c r="K28" s="8" t="s">
        <v>22</v>
      </c>
      <c r="L28" s="8" t="s">
        <v>23</v>
      </c>
      <c r="M28" s="2" t="s">
        <v>173</v>
      </c>
      <c r="N28" s="2" t="s">
        <v>127</v>
      </c>
      <c r="O28" s="11">
        <v>590</v>
      </c>
      <c r="P28" s="2" t="s">
        <v>174</v>
      </c>
      <c r="Q28" s="12" t="str">
        <f t="shared" si="4"/>
        <v>24</v>
      </c>
      <c r="R28" s="12" t="str">
        <f t="shared" si="5"/>
        <v>10</v>
      </c>
      <c r="S28" s="6" t="s">
        <v>140</v>
      </c>
      <c r="T28" s="1" t="s">
        <v>141</v>
      </c>
      <c r="U28" s="6" t="s">
        <v>175</v>
      </c>
      <c r="V28" s="6" t="s">
        <v>132</v>
      </c>
      <c r="W28" s="1" t="s">
        <v>133</v>
      </c>
      <c r="X28" s="5">
        <v>46204</v>
      </c>
      <c r="Y28" s="1">
        <f t="shared" si="6"/>
        <v>27</v>
      </c>
      <c r="Z28" s="5">
        <v>46204</v>
      </c>
      <c r="AA28" s="3"/>
      <c r="AB28" s="3"/>
      <c r="AD28" s="133" t="str">
        <f t="shared" si="3"/>
        <v>Closed In July</v>
      </c>
    </row>
    <row r="29" spans="1:30" hidden="1">
      <c r="A29" s="21">
        <v>46177</v>
      </c>
      <c r="B29" s="1">
        <v>2026</v>
      </c>
      <c r="C29" s="8" t="s">
        <v>21</v>
      </c>
      <c r="D29" s="8" t="s">
        <v>134</v>
      </c>
      <c r="E29" s="1"/>
      <c r="F29" s="1" t="s">
        <v>19</v>
      </c>
      <c r="G29" s="11" t="s">
        <v>135</v>
      </c>
      <c r="H29" s="8">
        <v>9578099893</v>
      </c>
      <c r="I29" s="10" t="s">
        <v>25</v>
      </c>
      <c r="J29" s="18" t="s">
        <v>136</v>
      </c>
      <c r="K29" s="8" t="s">
        <v>22</v>
      </c>
      <c r="L29" s="8" t="s">
        <v>23</v>
      </c>
      <c r="M29" s="2" t="s">
        <v>137</v>
      </c>
      <c r="N29" s="1" t="s">
        <v>138</v>
      </c>
      <c r="O29" s="11">
        <v>590</v>
      </c>
      <c r="P29" s="2" t="s">
        <v>176</v>
      </c>
      <c r="Q29" s="12" t="str">
        <f t="shared" si="4"/>
        <v>24</v>
      </c>
      <c r="R29" s="12" t="str">
        <f t="shared" si="5"/>
        <v>11</v>
      </c>
      <c r="S29" s="6" t="s">
        <v>140</v>
      </c>
      <c r="T29" s="1" t="s">
        <v>141</v>
      </c>
      <c r="U29" s="6" t="s">
        <v>142</v>
      </c>
      <c r="V29" s="6" t="s">
        <v>143</v>
      </c>
      <c r="W29" s="1" t="s">
        <v>133</v>
      </c>
      <c r="X29" s="5">
        <v>46204</v>
      </c>
      <c r="Y29" s="1">
        <f t="shared" si="6"/>
        <v>27</v>
      </c>
      <c r="Z29" s="5">
        <v>46204</v>
      </c>
      <c r="AA29" s="3"/>
      <c r="AB29" s="3"/>
      <c r="AD29" s="133" t="str">
        <f t="shared" si="3"/>
        <v>Closed In July</v>
      </c>
    </row>
    <row r="30" spans="1:30" hidden="1">
      <c r="A30" s="21">
        <v>46177</v>
      </c>
      <c r="B30" s="1">
        <v>2026</v>
      </c>
      <c r="C30" s="8" t="s">
        <v>21</v>
      </c>
      <c r="D30" s="8" t="s">
        <v>134</v>
      </c>
      <c r="E30" s="1"/>
      <c r="F30" s="1" t="s">
        <v>19</v>
      </c>
      <c r="G30" s="11" t="s">
        <v>135</v>
      </c>
      <c r="H30" s="8">
        <v>9578099893</v>
      </c>
      <c r="I30" s="10" t="s">
        <v>25</v>
      </c>
      <c r="J30" s="18" t="s">
        <v>136</v>
      </c>
      <c r="K30" s="8" t="s">
        <v>22</v>
      </c>
      <c r="L30" s="8" t="s">
        <v>23</v>
      </c>
      <c r="M30" s="2" t="s">
        <v>146</v>
      </c>
      <c r="N30" s="1" t="s">
        <v>138</v>
      </c>
      <c r="O30" s="11">
        <v>590</v>
      </c>
      <c r="P30" s="2" t="s">
        <v>177</v>
      </c>
      <c r="Q30" s="12" t="str">
        <f t="shared" si="4"/>
        <v>24</v>
      </c>
      <c r="R30" s="12" t="str">
        <f t="shared" si="5"/>
        <v>11</v>
      </c>
      <c r="S30" s="6" t="s">
        <v>140</v>
      </c>
      <c r="T30" s="1" t="s">
        <v>141</v>
      </c>
      <c r="U30" s="1" t="s">
        <v>148</v>
      </c>
      <c r="V30" s="1" t="s">
        <v>143</v>
      </c>
      <c r="W30" s="1" t="s">
        <v>133</v>
      </c>
      <c r="X30" s="5">
        <v>46204</v>
      </c>
      <c r="Y30" s="1">
        <f t="shared" si="6"/>
        <v>27</v>
      </c>
      <c r="Z30" s="5">
        <v>46204</v>
      </c>
      <c r="AA30" s="3"/>
      <c r="AB30" s="3"/>
      <c r="AD30" s="133" t="str">
        <f t="shared" si="3"/>
        <v>Closed In July</v>
      </c>
    </row>
    <row r="31" spans="1:30" hidden="1">
      <c r="A31" s="21">
        <v>46177</v>
      </c>
      <c r="B31" s="1">
        <v>2026</v>
      </c>
      <c r="C31" s="8" t="s">
        <v>21</v>
      </c>
      <c r="D31" s="8" t="s">
        <v>134</v>
      </c>
      <c r="E31" s="1"/>
      <c r="F31" s="1" t="s">
        <v>19</v>
      </c>
      <c r="G31" s="11" t="s">
        <v>135</v>
      </c>
      <c r="H31" s="8">
        <v>9578099893</v>
      </c>
      <c r="I31" s="10" t="s">
        <v>25</v>
      </c>
      <c r="J31" s="18" t="s">
        <v>136</v>
      </c>
      <c r="K31" s="8" t="s">
        <v>22</v>
      </c>
      <c r="L31" s="8" t="s">
        <v>23</v>
      </c>
      <c r="M31" s="2" t="s">
        <v>137</v>
      </c>
      <c r="N31" s="1" t="s">
        <v>138</v>
      </c>
      <c r="O31" s="11">
        <v>590</v>
      </c>
      <c r="P31" s="2" t="s">
        <v>178</v>
      </c>
      <c r="Q31" s="12" t="str">
        <f t="shared" si="4"/>
        <v>24</v>
      </c>
      <c r="R31" s="12" t="str">
        <f t="shared" si="5"/>
        <v>11</v>
      </c>
      <c r="S31" s="6" t="s">
        <v>140</v>
      </c>
      <c r="T31" s="1" t="s">
        <v>141</v>
      </c>
      <c r="U31" s="6" t="s">
        <v>142</v>
      </c>
      <c r="V31" s="6" t="s">
        <v>143</v>
      </c>
      <c r="W31" s="1" t="s">
        <v>133</v>
      </c>
      <c r="X31" s="5">
        <v>46204</v>
      </c>
      <c r="Y31" s="1">
        <f t="shared" si="6"/>
        <v>27</v>
      </c>
      <c r="Z31" s="5">
        <v>46204</v>
      </c>
      <c r="AA31" s="3"/>
      <c r="AB31" s="3"/>
      <c r="AD31" s="133" t="str">
        <f t="shared" si="3"/>
        <v>Closed In July</v>
      </c>
    </row>
    <row r="32" spans="1:30" hidden="1">
      <c r="A32" s="9">
        <v>46134</v>
      </c>
      <c r="B32" s="1">
        <v>2026</v>
      </c>
      <c r="C32" s="8" t="s">
        <v>26</v>
      </c>
      <c r="D32" s="11" t="s">
        <v>179</v>
      </c>
      <c r="E32" s="1"/>
      <c r="F32" s="1" t="s">
        <v>19</v>
      </c>
      <c r="G32" s="8" t="s">
        <v>180</v>
      </c>
      <c r="H32" s="8">
        <v>8248438488</v>
      </c>
      <c r="I32" s="10" t="s">
        <v>30</v>
      </c>
      <c r="J32" s="8" t="s">
        <v>181</v>
      </c>
      <c r="K32" s="8" t="s">
        <v>27</v>
      </c>
      <c r="L32" s="8" t="s">
        <v>28</v>
      </c>
      <c r="M32" s="2" t="s">
        <v>146</v>
      </c>
      <c r="N32" s="6" t="s">
        <v>138</v>
      </c>
      <c r="O32" s="11">
        <v>550</v>
      </c>
      <c r="P32" s="22" t="s">
        <v>182</v>
      </c>
      <c r="Q32" s="12" t="str">
        <f t="shared" si="4"/>
        <v>23</v>
      </c>
      <c r="R32" s="12" t="str">
        <f t="shared" si="5"/>
        <v>05</v>
      </c>
      <c r="S32" s="6" t="s">
        <v>129</v>
      </c>
      <c r="T32" s="1" t="s">
        <v>130</v>
      </c>
      <c r="U32" s="6" t="s">
        <v>148</v>
      </c>
      <c r="V32" s="1" t="s">
        <v>143</v>
      </c>
      <c r="W32" s="1" t="s">
        <v>133</v>
      </c>
      <c r="X32" s="5">
        <v>46204</v>
      </c>
      <c r="Y32" s="1">
        <f t="shared" si="6"/>
        <v>70</v>
      </c>
      <c r="Z32" s="5">
        <v>46204</v>
      </c>
      <c r="AA32" s="3"/>
      <c r="AB32" s="3"/>
      <c r="AD32" s="133" t="str">
        <f t="shared" si="3"/>
        <v>Closed In July</v>
      </c>
    </row>
    <row r="33" spans="1:30" hidden="1">
      <c r="A33" s="9">
        <v>46134</v>
      </c>
      <c r="B33" s="1">
        <v>2026</v>
      </c>
      <c r="C33" s="8" t="s">
        <v>26</v>
      </c>
      <c r="D33" s="11" t="s">
        <v>179</v>
      </c>
      <c r="E33" s="1"/>
      <c r="F33" s="1" t="s">
        <v>19</v>
      </c>
      <c r="G33" s="8" t="s">
        <v>180</v>
      </c>
      <c r="H33" s="8">
        <v>8248438488</v>
      </c>
      <c r="I33" s="10" t="s">
        <v>30</v>
      </c>
      <c r="J33" s="8" t="s">
        <v>181</v>
      </c>
      <c r="K33" s="8" t="s">
        <v>27</v>
      </c>
      <c r="L33" s="8" t="s">
        <v>28</v>
      </c>
      <c r="M33" s="2" t="s">
        <v>146</v>
      </c>
      <c r="N33" s="6" t="s">
        <v>138</v>
      </c>
      <c r="O33" s="11">
        <v>550</v>
      </c>
      <c r="P33" s="22" t="s">
        <v>183</v>
      </c>
      <c r="Q33" s="12" t="str">
        <f t="shared" ref="Q33:Q42" si="7">MID(P33,5,2)</f>
        <v>23</v>
      </c>
      <c r="R33" s="12" t="str">
        <f t="shared" ref="R33:R42" si="8">MID(P33,7,2)</f>
        <v>05</v>
      </c>
      <c r="S33" s="6" t="s">
        <v>129</v>
      </c>
      <c r="T33" s="1" t="s">
        <v>130</v>
      </c>
      <c r="U33" s="6" t="s">
        <v>148</v>
      </c>
      <c r="V33" s="1" t="s">
        <v>143</v>
      </c>
      <c r="W33" s="1" t="s">
        <v>133</v>
      </c>
      <c r="X33" s="5">
        <v>46204</v>
      </c>
      <c r="Y33" s="1">
        <f t="shared" ref="Y33:Y42" si="9">X33-A33</f>
        <v>70</v>
      </c>
      <c r="Z33" s="5">
        <v>46204</v>
      </c>
      <c r="AA33" s="3"/>
      <c r="AB33" s="3"/>
      <c r="AD33" s="133" t="str">
        <f t="shared" si="3"/>
        <v>Closed In July</v>
      </c>
    </row>
    <row r="34" spans="1:30" hidden="1">
      <c r="A34" s="9">
        <v>46134</v>
      </c>
      <c r="B34" s="1">
        <v>2026</v>
      </c>
      <c r="C34" s="8" t="s">
        <v>26</v>
      </c>
      <c r="D34" s="11" t="s">
        <v>179</v>
      </c>
      <c r="E34" s="1"/>
      <c r="F34" s="1" t="s">
        <v>19</v>
      </c>
      <c r="G34" s="8" t="s">
        <v>180</v>
      </c>
      <c r="H34" s="8">
        <v>8248438488</v>
      </c>
      <c r="I34" s="10" t="s">
        <v>30</v>
      </c>
      <c r="J34" s="8" t="s">
        <v>181</v>
      </c>
      <c r="K34" s="8" t="s">
        <v>27</v>
      </c>
      <c r="L34" s="8" t="s">
        <v>28</v>
      </c>
      <c r="M34" s="2" t="s">
        <v>146</v>
      </c>
      <c r="N34" s="6" t="s">
        <v>138</v>
      </c>
      <c r="O34" s="11">
        <v>550</v>
      </c>
      <c r="P34" s="22" t="s">
        <v>184</v>
      </c>
      <c r="Q34" s="12" t="str">
        <f t="shared" si="7"/>
        <v>23</v>
      </c>
      <c r="R34" s="12" t="str">
        <f t="shared" si="8"/>
        <v>05</v>
      </c>
      <c r="S34" s="6" t="s">
        <v>129</v>
      </c>
      <c r="T34" s="1" t="s">
        <v>130</v>
      </c>
      <c r="U34" s="6" t="s">
        <v>148</v>
      </c>
      <c r="V34" s="1" t="s">
        <v>143</v>
      </c>
      <c r="W34" s="1" t="s">
        <v>133</v>
      </c>
      <c r="X34" s="5">
        <v>46204</v>
      </c>
      <c r="Y34" s="1">
        <f t="shared" si="9"/>
        <v>70</v>
      </c>
      <c r="Z34" s="5">
        <v>46204</v>
      </c>
      <c r="AA34" s="3"/>
      <c r="AB34" s="3"/>
      <c r="AD34" s="133" t="str">
        <f t="shared" si="3"/>
        <v>Closed In July</v>
      </c>
    </row>
    <row r="35" spans="1:30" hidden="1">
      <c r="A35" s="9">
        <v>46134</v>
      </c>
      <c r="B35" s="1">
        <v>2026</v>
      </c>
      <c r="C35" s="8" t="s">
        <v>26</v>
      </c>
      <c r="D35" s="11" t="s">
        <v>179</v>
      </c>
      <c r="E35" s="1"/>
      <c r="F35" s="1" t="s">
        <v>19</v>
      </c>
      <c r="G35" s="8" t="s">
        <v>180</v>
      </c>
      <c r="H35" s="8">
        <v>8248438488</v>
      </c>
      <c r="I35" s="10" t="s">
        <v>30</v>
      </c>
      <c r="J35" s="8" t="s">
        <v>181</v>
      </c>
      <c r="K35" s="8" t="s">
        <v>27</v>
      </c>
      <c r="L35" s="8" t="s">
        <v>28</v>
      </c>
      <c r="M35" s="22" t="s">
        <v>137</v>
      </c>
      <c r="N35" s="6" t="s">
        <v>138</v>
      </c>
      <c r="O35" s="11">
        <v>550</v>
      </c>
      <c r="P35" s="22" t="s">
        <v>185</v>
      </c>
      <c r="Q35" s="12" t="str">
        <f t="shared" si="7"/>
        <v>23</v>
      </c>
      <c r="R35" s="12" t="str">
        <f t="shared" si="8"/>
        <v>05</v>
      </c>
      <c r="S35" s="6" t="s">
        <v>129</v>
      </c>
      <c r="T35" s="1" t="s">
        <v>130</v>
      </c>
      <c r="U35" s="6" t="s">
        <v>142</v>
      </c>
      <c r="V35" s="1" t="s">
        <v>143</v>
      </c>
      <c r="W35" s="1" t="s">
        <v>133</v>
      </c>
      <c r="X35" s="5">
        <v>46204</v>
      </c>
      <c r="Y35" s="1">
        <f t="shared" si="9"/>
        <v>70</v>
      </c>
      <c r="Z35" s="5">
        <v>46204</v>
      </c>
      <c r="AA35" s="3"/>
      <c r="AB35" s="3"/>
      <c r="AD35" s="133" t="str">
        <f t="shared" si="3"/>
        <v>Closed In July</v>
      </c>
    </row>
    <row r="36" spans="1:30" hidden="1">
      <c r="A36" s="9">
        <v>46134</v>
      </c>
      <c r="B36" s="1">
        <v>2026</v>
      </c>
      <c r="C36" s="8" t="s">
        <v>26</v>
      </c>
      <c r="D36" s="11" t="s">
        <v>179</v>
      </c>
      <c r="E36" s="1"/>
      <c r="F36" s="1" t="s">
        <v>19</v>
      </c>
      <c r="G36" s="8" t="s">
        <v>180</v>
      </c>
      <c r="H36" s="8">
        <v>8248438488</v>
      </c>
      <c r="I36" s="10" t="s">
        <v>30</v>
      </c>
      <c r="J36" s="8" t="s">
        <v>181</v>
      </c>
      <c r="K36" s="8" t="s">
        <v>27</v>
      </c>
      <c r="L36" s="8" t="s">
        <v>28</v>
      </c>
      <c r="M36" s="2" t="s">
        <v>146</v>
      </c>
      <c r="N36" s="6" t="s">
        <v>138</v>
      </c>
      <c r="O36" s="11">
        <v>550</v>
      </c>
      <c r="P36" s="22" t="s">
        <v>186</v>
      </c>
      <c r="Q36" s="12" t="str">
        <f t="shared" si="7"/>
        <v>23</v>
      </c>
      <c r="R36" s="12" t="str">
        <f t="shared" si="8"/>
        <v>05</v>
      </c>
      <c r="S36" s="6" t="s">
        <v>129</v>
      </c>
      <c r="T36" s="1" t="s">
        <v>130</v>
      </c>
      <c r="U36" s="6" t="s">
        <v>148</v>
      </c>
      <c r="V36" s="1" t="s">
        <v>143</v>
      </c>
      <c r="W36" s="1" t="s">
        <v>133</v>
      </c>
      <c r="X36" s="5">
        <v>46204</v>
      </c>
      <c r="Y36" s="1">
        <f t="shared" si="9"/>
        <v>70</v>
      </c>
      <c r="Z36" s="5">
        <v>46204</v>
      </c>
      <c r="AA36" s="3"/>
      <c r="AB36" s="3"/>
      <c r="AD36" s="133" t="str">
        <f t="shared" si="3"/>
        <v>Closed In July</v>
      </c>
    </row>
    <row r="37" spans="1:30" hidden="1">
      <c r="A37" s="9">
        <v>46134</v>
      </c>
      <c r="B37" s="1">
        <v>2026</v>
      </c>
      <c r="C37" s="8" t="s">
        <v>26</v>
      </c>
      <c r="D37" s="11" t="s">
        <v>179</v>
      </c>
      <c r="E37" s="1"/>
      <c r="F37" s="1" t="s">
        <v>19</v>
      </c>
      <c r="G37" s="8" t="s">
        <v>180</v>
      </c>
      <c r="H37" s="8">
        <v>8248438488</v>
      </c>
      <c r="I37" s="10" t="s">
        <v>30</v>
      </c>
      <c r="J37" s="8" t="s">
        <v>181</v>
      </c>
      <c r="K37" s="8" t="s">
        <v>27</v>
      </c>
      <c r="L37" s="8" t="s">
        <v>28</v>
      </c>
      <c r="M37" s="2" t="s">
        <v>146</v>
      </c>
      <c r="N37" s="6" t="s">
        <v>138</v>
      </c>
      <c r="O37" s="11">
        <v>550</v>
      </c>
      <c r="P37" s="22" t="s">
        <v>187</v>
      </c>
      <c r="Q37" s="12" t="str">
        <f t="shared" si="7"/>
        <v>23</v>
      </c>
      <c r="R37" s="12" t="str">
        <f t="shared" si="8"/>
        <v>05</v>
      </c>
      <c r="S37" s="6" t="s">
        <v>129</v>
      </c>
      <c r="T37" s="1" t="s">
        <v>130</v>
      </c>
      <c r="U37" s="6" t="s">
        <v>148</v>
      </c>
      <c r="V37" s="1" t="s">
        <v>143</v>
      </c>
      <c r="W37" s="1" t="s">
        <v>133</v>
      </c>
      <c r="X37" s="5">
        <v>46204</v>
      </c>
      <c r="Y37" s="1">
        <f t="shared" si="9"/>
        <v>70</v>
      </c>
      <c r="Z37" s="5">
        <v>46204</v>
      </c>
      <c r="AA37" s="3"/>
      <c r="AB37" s="3"/>
      <c r="AD37" s="133" t="str">
        <f t="shared" si="3"/>
        <v>Closed In July</v>
      </c>
    </row>
    <row r="38" spans="1:30" hidden="1">
      <c r="A38" s="9">
        <v>46134</v>
      </c>
      <c r="B38" s="1">
        <v>2026</v>
      </c>
      <c r="C38" s="8" t="s">
        <v>26</v>
      </c>
      <c r="D38" s="11" t="s">
        <v>179</v>
      </c>
      <c r="E38" s="1"/>
      <c r="F38" s="1" t="s">
        <v>19</v>
      </c>
      <c r="G38" s="8" t="s">
        <v>180</v>
      </c>
      <c r="H38" s="8">
        <v>8248438488</v>
      </c>
      <c r="I38" s="10" t="s">
        <v>30</v>
      </c>
      <c r="J38" s="8" t="s">
        <v>181</v>
      </c>
      <c r="K38" s="8" t="s">
        <v>27</v>
      </c>
      <c r="L38" s="8" t="s">
        <v>28</v>
      </c>
      <c r="M38" s="2" t="s">
        <v>146</v>
      </c>
      <c r="N38" s="6" t="s">
        <v>138</v>
      </c>
      <c r="O38" s="11">
        <v>550</v>
      </c>
      <c r="P38" s="22" t="s">
        <v>188</v>
      </c>
      <c r="Q38" s="12" t="str">
        <f t="shared" si="7"/>
        <v>23</v>
      </c>
      <c r="R38" s="12" t="str">
        <f t="shared" si="8"/>
        <v>05</v>
      </c>
      <c r="S38" s="6" t="s">
        <v>129</v>
      </c>
      <c r="T38" s="1" t="s">
        <v>130</v>
      </c>
      <c r="U38" s="6" t="s">
        <v>148</v>
      </c>
      <c r="V38" s="1" t="s">
        <v>143</v>
      </c>
      <c r="W38" s="1" t="s">
        <v>133</v>
      </c>
      <c r="X38" s="5">
        <v>46204</v>
      </c>
      <c r="Y38" s="1">
        <f t="shared" si="9"/>
        <v>70</v>
      </c>
      <c r="Z38" s="5">
        <v>46204</v>
      </c>
      <c r="AA38" s="3"/>
      <c r="AB38" s="3"/>
      <c r="AD38" s="133" t="str">
        <f t="shared" si="3"/>
        <v>Closed In July</v>
      </c>
    </row>
    <row r="39" spans="1:30" hidden="1">
      <c r="A39" s="9">
        <v>46134</v>
      </c>
      <c r="B39" s="1">
        <v>2026</v>
      </c>
      <c r="C39" s="8" t="s">
        <v>26</v>
      </c>
      <c r="D39" s="11" t="s">
        <v>179</v>
      </c>
      <c r="E39" s="1"/>
      <c r="F39" s="1" t="s">
        <v>19</v>
      </c>
      <c r="G39" s="8" t="s">
        <v>180</v>
      </c>
      <c r="H39" s="8">
        <v>8248438488</v>
      </c>
      <c r="I39" s="10" t="s">
        <v>30</v>
      </c>
      <c r="J39" s="8" t="s">
        <v>181</v>
      </c>
      <c r="K39" s="8" t="s">
        <v>27</v>
      </c>
      <c r="L39" s="8" t="s">
        <v>28</v>
      </c>
      <c r="M39" s="2" t="s">
        <v>146</v>
      </c>
      <c r="N39" s="6" t="s">
        <v>138</v>
      </c>
      <c r="O39" s="11">
        <v>550</v>
      </c>
      <c r="P39" s="22" t="s">
        <v>189</v>
      </c>
      <c r="Q39" s="12" t="str">
        <f t="shared" si="7"/>
        <v>23</v>
      </c>
      <c r="R39" s="12" t="str">
        <f t="shared" si="8"/>
        <v>05</v>
      </c>
      <c r="S39" s="6" t="s">
        <v>129</v>
      </c>
      <c r="T39" s="1" t="s">
        <v>130</v>
      </c>
      <c r="U39" s="6" t="s">
        <v>148</v>
      </c>
      <c r="V39" s="1" t="s">
        <v>143</v>
      </c>
      <c r="W39" s="1" t="s">
        <v>133</v>
      </c>
      <c r="X39" s="5">
        <v>46204</v>
      </c>
      <c r="Y39" s="1">
        <f t="shared" si="9"/>
        <v>70</v>
      </c>
      <c r="Z39" s="5">
        <v>46204</v>
      </c>
      <c r="AA39" s="3"/>
      <c r="AB39" s="3"/>
      <c r="AD39" s="133" t="str">
        <f t="shared" si="3"/>
        <v>Closed In July</v>
      </c>
    </row>
    <row r="40" spans="1:30" hidden="1">
      <c r="A40" s="9">
        <v>46134</v>
      </c>
      <c r="B40" s="1">
        <v>2026</v>
      </c>
      <c r="C40" s="8" t="s">
        <v>26</v>
      </c>
      <c r="D40" s="11" t="s">
        <v>179</v>
      </c>
      <c r="E40" s="1"/>
      <c r="F40" s="1" t="s">
        <v>19</v>
      </c>
      <c r="G40" s="8" t="s">
        <v>180</v>
      </c>
      <c r="H40" s="8">
        <v>8248438488</v>
      </c>
      <c r="I40" s="10" t="s">
        <v>30</v>
      </c>
      <c r="J40" s="8" t="s">
        <v>181</v>
      </c>
      <c r="K40" s="8" t="s">
        <v>27</v>
      </c>
      <c r="L40" s="8" t="s">
        <v>28</v>
      </c>
      <c r="M40" s="22" t="s">
        <v>137</v>
      </c>
      <c r="N40" s="6" t="s">
        <v>138</v>
      </c>
      <c r="O40" s="11">
        <v>550</v>
      </c>
      <c r="P40" s="22" t="s">
        <v>190</v>
      </c>
      <c r="Q40" s="12" t="str">
        <f t="shared" si="7"/>
        <v>23</v>
      </c>
      <c r="R40" s="12" t="str">
        <f t="shared" si="8"/>
        <v>05</v>
      </c>
      <c r="S40" s="6" t="s">
        <v>129</v>
      </c>
      <c r="T40" s="1" t="s">
        <v>130</v>
      </c>
      <c r="U40" s="6" t="s">
        <v>142</v>
      </c>
      <c r="V40" s="1" t="s">
        <v>143</v>
      </c>
      <c r="W40" s="1" t="s">
        <v>133</v>
      </c>
      <c r="X40" s="5">
        <v>46204</v>
      </c>
      <c r="Y40" s="1">
        <f t="shared" si="9"/>
        <v>70</v>
      </c>
      <c r="Z40" s="5">
        <v>46204</v>
      </c>
      <c r="AA40" s="3"/>
      <c r="AB40" s="3"/>
      <c r="AD40" s="133" t="str">
        <f t="shared" si="3"/>
        <v>Closed In July</v>
      </c>
    </row>
    <row r="41" spans="1:30" hidden="1">
      <c r="A41" s="9">
        <v>46134</v>
      </c>
      <c r="B41" s="1">
        <v>2026</v>
      </c>
      <c r="C41" s="8" t="s">
        <v>26</v>
      </c>
      <c r="D41" s="11" t="s">
        <v>179</v>
      </c>
      <c r="E41" s="1"/>
      <c r="F41" s="1" t="s">
        <v>19</v>
      </c>
      <c r="G41" s="8" t="s">
        <v>180</v>
      </c>
      <c r="H41" s="8">
        <v>8248438488</v>
      </c>
      <c r="I41" s="10" t="s">
        <v>30</v>
      </c>
      <c r="J41" s="8" t="s">
        <v>181</v>
      </c>
      <c r="K41" s="8" t="s">
        <v>27</v>
      </c>
      <c r="L41" s="8" t="s">
        <v>28</v>
      </c>
      <c r="M41" s="22" t="s">
        <v>137</v>
      </c>
      <c r="N41" s="6" t="s">
        <v>138</v>
      </c>
      <c r="O41" s="11">
        <v>550</v>
      </c>
      <c r="P41" s="22" t="s">
        <v>191</v>
      </c>
      <c r="Q41" s="12" t="str">
        <f t="shared" si="7"/>
        <v>23</v>
      </c>
      <c r="R41" s="12" t="str">
        <f t="shared" si="8"/>
        <v>05</v>
      </c>
      <c r="S41" s="6" t="s">
        <v>129</v>
      </c>
      <c r="T41" s="1" t="s">
        <v>130</v>
      </c>
      <c r="U41" s="6" t="s">
        <v>142</v>
      </c>
      <c r="V41" s="1" t="s">
        <v>143</v>
      </c>
      <c r="W41" s="1" t="s">
        <v>133</v>
      </c>
      <c r="X41" s="5">
        <v>46204</v>
      </c>
      <c r="Y41" s="1">
        <f t="shared" si="9"/>
        <v>70</v>
      </c>
      <c r="Z41" s="5">
        <v>46204</v>
      </c>
      <c r="AA41" s="3"/>
      <c r="AB41" s="3"/>
      <c r="AD41" s="133" t="str">
        <f t="shared" si="3"/>
        <v>Closed In July</v>
      </c>
    </row>
    <row r="42" spans="1:30" hidden="1">
      <c r="A42" s="21">
        <v>46177</v>
      </c>
      <c r="B42" s="1">
        <v>2026</v>
      </c>
      <c r="C42" s="8" t="s">
        <v>21</v>
      </c>
      <c r="D42" s="8" t="s">
        <v>134</v>
      </c>
      <c r="E42" s="1"/>
      <c r="F42" s="1" t="s">
        <v>19</v>
      </c>
      <c r="G42" s="11" t="s">
        <v>135</v>
      </c>
      <c r="H42" s="8">
        <v>9578099893</v>
      </c>
      <c r="I42" s="10" t="s">
        <v>25</v>
      </c>
      <c r="J42" s="18" t="s">
        <v>136</v>
      </c>
      <c r="K42" s="8" t="s">
        <v>22</v>
      </c>
      <c r="L42" s="8" t="s">
        <v>23</v>
      </c>
      <c r="M42" s="2" t="s">
        <v>146</v>
      </c>
      <c r="N42" s="1" t="s">
        <v>138</v>
      </c>
      <c r="O42" s="11">
        <v>590</v>
      </c>
      <c r="P42" s="2" t="s">
        <v>192</v>
      </c>
      <c r="Q42" s="12" t="str">
        <f t="shared" si="7"/>
        <v>24</v>
      </c>
      <c r="R42" s="12" t="str">
        <f t="shared" si="8"/>
        <v>10</v>
      </c>
      <c r="S42" s="6" t="s">
        <v>140</v>
      </c>
      <c r="T42" s="1" t="s">
        <v>141</v>
      </c>
      <c r="U42" s="1" t="s">
        <v>148</v>
      </c>
      <c r="V42" s="1" t="s">
        <v>143</v>
      </c>
      <c r="W42" s="1" t="s">
        <v>133</v>
      </c>
      <c r="X42" s="5">
        <v>46205</v>
      </c>
      <c r="Y42" s="1">
        <f t="shared" si="9"/>
        <v>28</v>
      </c>
      <c r="Z42" s="5">
        <v>46205</v>
      </c>
      <c r="AA42" s="3"/>
      <c r="AB42" s="3"/>
      <c r="AD42" s="133" t="str">
        <f t="shared" si="3"/>
        <v>Closed In July</v>
      </c>
    </row>
    <row r="43" spans="1:30" hidden="1">
      <c r="A43" s="21">
        <v>46177</v>
      </c>
      <c r="B43" s="1">
        <v>2026</v>
      </c>
      <c r="C43" s="8" t="s">
        <v>21</v>
      </c>
      <c r="D43" s="8" t="s">
        <v>134</v>
      </c>
      <c r="E43" s="1"/>
      <c r="F43" s="1" t="s">
        <v>19</v>
      </c>
      <c r="G43" s="11" t="s">
        <v>135</v>
      </c>
      <c r="H43" s="8">
        <v>9578099893</v>
      </c>
      <c r="I43" s="10" t="s">
        <v>25</v>
      </c>
      <c r="J43" s="18" t="s">
        <v>136</v>
      </c>
      <c r="K43" s="8" t="s">
        <v>22</v>
      </c>
      <c r="L43" s="8" t="s">
        <v>23</v>
      </c>
      <c r="M43" s="2" t="s">
        <v>146</v>
      </c>
      <c r="N43" s="1" t="s">
        <v>138</v>
      </c>
      <c r="O43" s="11">
        <v>590</v>
      </c>
      <c r="P43" s="2" t="s">
        <v>193</v>
      </c>
      <c r="Q43" s="12" t="str">
        <f t="shared" ref="Q43:Q88" si="10">MID(P43,5,2)</f>
        <v>24</v>
      </c>
      <c r="R43" s="12" t="str">
        <f t="shared" ref="R43:R88" si="11">MID(P43,7,2)</f>
        <v>10</v>
      </c>
      <c r="S43" s="6" t="s">
        <v>140</v>
      </c>
      <c r="T43" s="1" t="s">
        <v>141</v>
      </c>
      <c r="U43" s="1" t="s">
        <v>148</v>
      </c>
      <c r="V43" s="1" t="s">
        <v>143</v>
      </c>
      <c r="W43" s="1" t="s">
        <v>133</v>
      </c>
      <c r="X43" s="5">
        <v>46205</v>
      </c>
      <c r="Y43" s="1">
        <f t="shared" ref="Y43:Y88" si="12">X43-A43</f>
        <v>28</v>
      </c>
      <c r="Z43" s="5">
        <v>46205</v>
      </c>
      <c r="AA43" s="3"/>
      <c r="AB43" s="3"/>
      <c r="AD43" s="133" t="str">
        <f t="shared" si="3"/>
        <v>Closed In July</v>
      </c>
    </row>
    <row r="44" spans="1:30" hidden="1">
      <c r="A44" s="21">
        <v>46177</v>
      </c>
      <c r="B44" s="1">
        <v>2026</v>
      </c>
      <c r="C44" s="8" t="s">
        <v>21</v>
      </c>
      <c r="D44" s="8" t="s">
        <v>134</v>
      </c>
      <c r="E44" s="1"/>
      <c r="F44" s="1" t="s">
        <v>19</v>
      </c>
      <c r="G44" s="11" t="s">
        <v>135</v>
      </c>
      <c r="H44" s="8">
        <v>9578099893</v>
      </c>
      <c r="I44" s="10" t="s">
        <v>25</v>
      </c>
      <c r="J44" s="18" t="s">
        <v>136</v>
      </c>
      <c r="K44" s="8" t="s">
        <v>22</v>
      </c>
      <c r="L44" s="8" t="s">
        <v>23</v>
      </c>
      <c r="M44" s="2" t="s">
        <v>146</v>
      </c>
      <c r="N44" s="1" t="s">
        <v>138</v>
      </c>
      <c r="O44" s="11">
        <v>590</v>
      </c>
      <c r="P44" s="2" t="s">
        <v>194</v>
      </c>
      <c r="Q44" s="12" t="str">
        <f t="shared" si="10"/>
        <v>24</v>
      </c>
      <c r="R44" s="12" t="str">
        <f t="shared" si="11"/>
        <v>10</v>
      </c>
      <c r="S44" s="6" t="s">
        <v>140</v>
      </c>
      <c r="T44" s="1" t="s">
        <v>141</v>
      </c>
      <c r="U44" s="1" t="s">
        <v>148</v>
      </c>
      <c r="V44" s="1" t="s">
        <v>143</v>
      </c>
      <c r="W44" s="1" t="s">
        <v>133</v>
      </c>
      <c r="X44" s="5">
        <v>46205</v>
      </c>
      <c r="Y44" s="1">
        <f t="shared" si="12"/>
        <v>28</v>
      </c>
      <c r="Z44" s="5">
        <v>46205</v>
      </c>
      <c r="AA44" s="3"/>
      <c r="AB44" s="3"/>
      <c r="AD44" s="133" t="str">
        <f t="shared" si="3"/>
        <v>Closed In July</v>
      </c>
    </row>
    <row r="45" spans="1:30" hidden="1">
      <c r="A45" s="21">
        <v>46177</v>
      </c>
      <c r="B45" s="1">
        <v>2026</v>
      </c>
      <c r="C45" s="8" t="s">
        <v>21</v>
      </c>
      <c r="D45" s="8" t="s">
        <v>134</v>
      </c>
      <c r="E45" s="1"/>
      <c r="F45" s="1" t="s">
        <v>19</v>
      </c>
      <c r="G45" s="11" t="s">
        <v>135</v>
      </c>
      <c r="H45" s="8">
        <v>9578099893</v>
      </c>
      <c r="I45" s="10" t="s">
        <v>25</v>
      </c>
      <c r="J45" s="18" t="s">
        <v>136</v>
      </c>
      <c r="K45" s="8" t="s">
        <v>22</v>
      </c>
      <c r="L45" s="8" t="s">
        <v>23</v>
      </c>
      <c r="M45" s="2" t="s">
        <v>146</v>
      </c>
      <c r="N45" s="1" t="s">
        <v>138</v>
      </c>
      <c r="O45" s="11">
        <v>590</v>
      </c>
      <c r="P45" s="2" t="s">
        <v>195</v>
      </c>
      <c r="Q45" s="12" t="str">
        <f t="shared" si="10"/>
        <v>24</v>
      </c>
      <c r="R45" s="12" t="str">
        <f t="shared" si="11"/>
        <v>10</v>
      </c>
      <c r="S45" s="6" t="s">
        <v>140</v>
      </c>
      <c r="T45" s="1" t="s">
        <v>141</v>
      </c>
      <c r="U45" s="1" t="s">
        <v>148</v>
      </c>
      <c r="V45" s="1" t="s">
        <v>143</v>
      </c>
      <c r="W45" s="1" t="s">
        <v>133</v>
      </c>
      <c r="X45" s="5">
        <v>46205</v>
      </c>
      <c r="Y45" s="1">
        <f t="shared" si="12"/>
        <v>28</v>
      </c>
      <c r="Z45" s="5">
        <v>46205</v>
      </c>
      <c r="AA45" s="3"/>
      <c r="AB45" s="3"/>
      <c r="AD45" s="133" t="str">
        <f t="shared" si="3"/>
        <v>Closed In July</v>
      </c>
    </row>
    <row r="46" spans="1:30" hidden="1">
      <c r="A46" s="21">
        <v>46177</v>
      </c>
      <c r="B46" s="1">
        <v>2026</v>
      </c>
      <c r="C46" s="8" t="s">
        <v>21</v>
      </c>
      <c r="D46" s="8" t="s">
        <v>134</v>
      </c>
      <c r="E46" s="1"/>
      <c r="F46" s="1" t="s">
        <v>19</v>
      </c>
      <c r="G46" s="11" t="s">
        <v>135</v>
      </c>
      <c r="H46" s="8">
        <v>9578099893</v>
      </c>
      <c r="I46" s="10" t="s">
        <v>25</v>
      </c>
      <c r="J46" s="18" t="s">
        <v>136</v>
      </c>
      <c r="K46" s="8" t="s">
        <v>22</v>
      </c>
      <c r="L46" s="8" t="s">
        <v>23</v>
      </c>
      <c r="M46" s="2" t="s">
        <v>146</v>
      </c>
      <c r="N46" s="1" t="s">
        <v>138</v>
      </c>
      <c r="O46" s="11">
        <v>590</v>
      </c>
      <c r="P46" s="2" t="s">
        <v>196</v>
      </c>
      <c r="Q46" s="12" t="str">
        <f t="shared" si="10"/>
        <v>24</v>
      </c>
      <c r="R46" s="12" t="str">
        <f t="shared" si="11"/>
        <v>10</v>
      </c>
      <c r="S46" s="6" t="s">
        <v>140</v>
      </c>
      <c r="T46" s="1" t="s">
        <v>141</v>
      </c>
      <c r="U46" s="1" t="s">
        <v>148</v>
      </c>
      <c r="V46" s="1" t="s">
        <v>143</v>
      </c>
      <c r="W46" s="1" t="s">
        <v>133</v>
      </c>
      <c r="X46" s="5">
        <v>46205</v>
      </c>
      <c r="Y46" s="1">
        <f t="shared" si="12"/>
        <v>28</v>
      </c>
      <c r="Z46" s="5">
        <v>46205</v>
      </c>
      <c r="AA46" s="3"/>
      <c r="AB46" s="3"/>
      <c r="AD46" s="133" t="str">
        <f t="shared" si="3"/>
        <v>Closed In July</v>
      </c>
    </row>
    <row r="47" spans="1:30" hidden="1">
      <c r="A47" s="21">
        <v>46177</v>
      </c>
      <c r="B47" s="1">
        <v>2026</v>
      </c>
      <c r="C47" s="8" t="s">
        <v>21</v>
      </c>
      <c r="D47" s="8" t="s">
        <v>134</v>
      </c>
      <c r="E47" s="1"/>
      <c r="F47" s="1" t="s">
        <v>19</v>
      </c>
      <c r="G47" s="11" t="s">
        <v>135</v>
      </c>
      <c r="H47" s="8">
        <v>9578099893</v>
      </c>
      <c r="I47" s="10" t="s">
        <v>25</v>
      </c>
      <c r="J47" s="18" t="s">
        <v>136</v>
      </c>
      <c r="K47" s="8" t="s">
        <v>22</v>
      </c>
      <c r="L47" s="8" t="s">
        <v>23</v>
      </c>
      <c r="M47" s="2" t="s">
        <v>146</v>
      </c>
      <c r="N47" s="1" t="s">
        <v>138</v>
      </c>
      <c r="O47" s="11">
        <v>590</v>
      </c>
      <c r="P47" s="2" t="s">
        <v>197</v>
      </c>
      <c r="Q47" s="12" t="str">
        <f t="shared" si="10"/>
        <v>24</v>
      </c>
      <c r="R47" s="12" t="str">
        <f t="shared" si="11"/>
        <v>10</v>
      </c>
      <c r="S47" s="6" t="s">
        <v>140</v>
      </c>
      <c r="T47" s="1" t="s">
        <v>141</v>
      </c>
      <c r="U47" s="1" t="s">
        <v>148</v>
      </c>
      <c r="V47" s="1" t="s">
        <v>143</v>
      </c>
      <c r="W47" s="1" t="s">
        <v>133</v>
      </c>
      <c r="X47" s="5">
        <v>46205</v>
      </c>
      <c r="Y47" s="1">
        <f t="shared" si="12"/>
        <v>28</v>
      </c>
      <c r="Z47" s="5">
        <v>46205</v>
      </c>
      <c r="AA47" s="3"/>
      <c r="AB47" s="3"/>
      <c r="AD47" s="133" t="str">
        <f t="shared" si="3"/>
        <v>Closed In July</v>
      </c>
    </row>
    <row r="48" spans="1:30" hidden="1">
      <c r="A48" s="21">
        <v>46177</v>
      </c>
      <c r="B48" s="1">
        <v>2026</v>
      </c>
      <c r="C48" s="8" t="s">
        <v>21</v>
      </c>
      <c r="D48" s="8" t="s">
        <v>134</v>
      </c>
      <c r="E48" s="1"/>
      <c r="F48" s="1" t="s">
        <v>19</v>
      </c>
      <c r="G48" s="11" t="s">
        <v>135</v>
      </c>
      <c r="H48" s="8">
        <v>9578099893</v>
      </c>
      <c r="I48" s="10" t="s">
        <v>25</v>
      </c>
      <c r="J48" s="18" t="s">
        <v>136</v>
      </c>
      <c r="K48" s="8" t="s">
        <v>22</v>
      </c>
      <c r="L48" s="8" t="s">
        <v>23</v>
      </c>
      <c r="M48" s="2" t="s">
        <v>137</v>
      </c>
      <c r="N48" s="1" t="s">
        <v>138</v>
      </c>
      <c r="O48" s="11">
        <v>590</v>
      </c>
      <c r="P48" s="2" t="s">
        <v>198</v>
      </c>
      <c r="Q48" s="12" t="str">
        <f t="shared" si="10"/>
        <v>24</v>
      </c>
      <c r="R48" s="12" t="str">
        <f t="shared" si="11"/>
        <v>11</v>
      </c>
      <c r="S48" s="6" t="s">
        <v>140</v>
      </c>
      <c r="T48" s="1" t="s">
        <v>141</v>
      </c>
      <c r="U48" s="6" t="s">
        <v>142</v>
      </c>
      <c r="V48" s="6" t="s">
        <v>143</v>
      </c>
      <c r="W48" s="1" t="s">
        <v>133</v>
      </c>
      <c r="X48" s="5">
        <v>46205</v>
      </c>
      <c r="Y48" s="1">
        <f t="shared" si="12"/>
        <v>28</v>
      </c>
      <c r="Z48" s="5">
        <v>46205</v>
      </c>
      <c r="AA48" s="3"/>
      <c r="AB48" s="3"/>
      <c r="AD48" s="133" t="str">
        <f t="shared" si="3"/>
        <v>Closed In July</v>
      </c>
    </row>
    <row r="49" spans="1:30" hidden="1">
      <c r="A49" s="21">
        <v>46177</v>
      </c>
      <c r="B49" s="1">
        <v>2026</v>
      </c>
      <c r="C49" s="8" t="s">
        <v>21</v>
      </c>
      <c r="D49" s="8" t="s">
        <v>134</v>
      </c>
      <c r="E49" s="1"/>
      <c r="F49" s="1" t="s">
        <v>19</v>
      </c>
      <c r="G49" s="11" t="s">
        <v>135</v>
      </c>
      <c r="H49" s="8">
        <v>9578099893</v>
      </c>
      <c r="I49" s="10" t="s">
        <v>25</v>
      </c>
      <c r="J49" s="18" t="s">
        <v>136</v>
      </c>
      <c r="K49" s="8" t="s">
        <v>22</v>
      </c>
      <c r="L49" s="8" t="s">
        <v>23</v>
      </c>
      <c r="M49" s="2" t="s">
        <v>146</v>
      </c>
      <c r="N49" s="1" t="s">
        <v>138</v>
      </c>
      <c r="O49" s="11">
        <v>590</v>
      </c>
      <c r="P49" s="2" t="s">
        <v>199</v>
      </c>
      <c r="Q49" s="12" t="str">
        <f t="shared" si="10"/>
        <v>24</v>
      </c>
      <c r="R49" s="12" t="str">
        <f t="shared" si="11"/>
        <v>10</v>
      </c>
      <c r="S49" s="6" t="s">
        <v>140</v>
      </c>
      <c r="T49" s="1" t="s">
        <v>141</v>
      </c>
      <c r="U49" s="1" t="s">
        <v>148</v>
      </c>
      <c r="V49" s="1" t="s">
        <v>143</v>
      </c>
      <c r="W49" s="1" t="s">
        <v>133</v>
      </c>
      <c r="X49" s="5">
        <v>46205</v>
      </c>
      <c r="Y49" s="1">
        <f t="shared" si="12"/>
        <v>28</v>
      </c>
      <c r="Z49" s="5">
        <v>46205</v>
      </c>
      <c r="AA49" s="3"/>
      <c r="AB49" s="3"/>
      <c r="AD49" s="133" t="str">
        <f t="shared" si="3"/>
        <v>Closed In July</v>
      </c>
    </row>
    <row r="50" spans="1:30" hidden="1">
      <c r="A50" s="21">
        <v>46177</v>
      </c>
      <c r="B50" s="1">
        <v>2026</v>
      </c>
      <c r="C50" s="8" t="s">
        <v>21</v>
      </c>
      <c r="D50" s="8" t="s">
        <v>134</v>
      </c>
      <c r="E50" s="1"/>
      <c r="F50" s="1" t="s">
        <v>19</v>
      </c>
      <c r="G50" s="11" t="s">
        <v>135</v>
      </c>
      <c r="H50" s="8">
        <v>9578099893</v>
      </c>
      <c r="I50" s="10" t="s">
        <v>25</v>
      </c>
      <c r="J50" s="18" t="s">
        <v>136</v>
      </c>
      <c r="K50" s="8" t="s">
        <v>22</v>
      </c>
      <c r="L50" s="8" t="s">
        <v>23</v>
      </c>
      <c r="M50" s="2" t="s">
        <v>146</v>
      </c>
      <c r="N50" s="1" t="s">
        <v>138</v>
      </c>
      <c r="O50" s="11">
        <v>590</v>
      </c>
      <c r="P50" s="2" t="s">
        <v>200</v>
      </c>
      <c r="Q50" s="12" t="str">
        <f t="shared" si="10"/>
        <v>24</v>
      </c>
      <c r="R50" s="12" t="str">
        <f t="shared" si="11"/>
        <v>10</v>
      </c>
      <c r="S50" s="6" t="s">
        <v>140</v>
      </c>
      <c r="T50" s="1" t="s">
        <v>141</v>
      </c>
      <c r="U50" s="1" t="s">
        <v>148</v>
      </c>
      <c r="V50" s="1" t="s">
        <v>143</v>
      </c>
      <c r="W50" s="1" t="s">
        <v>133</v>
      </c>
      <c r="X50" s="5">
        <v>46205</v>
      </c>
      <c r="Y50" s="1">
        <f t="shared" si="12"/>
        <v>28</v>
      </c>
      <c r="Z50" s="5">
        <v>46205</v>
      </c>
      <c r="AA50" s="3"/>
      <c r="AB50" s="3"/>
      <c r="AD50" s="133" t="str">
        <f t="shared" si="3"/>
        <v>Closed In July</v>
      </c>
    </row>
    <row r="51" spans="1:30" hidden="1">
      <c r="A51" s="21">
        <v>46177</v>
      </c>
      <c r="B51" s="1">
        <v>2026</v>
      </c>
      <c r="C51" s="8" t="s">
        <v>21</v>
      </c>
      <c r="D51" s="8" t="s">
        <v>134</v>
      </c>
      <c r="E51" s="1"/>
      <c r="F51" s="1" t="s">
        <v>19</v>
      </c>
      <c r="G51" s="11" t="s">
        <v>135</v>
      </c>
      <c r="H51" s="8">
        <v>9578099893</v>
      </c>
      <c r="I51" s="10" t="s">
        <v>25</v>
      </c>
      <c r="J51" s="18" t="s">
        <v>136</v>
      </c>
      <c r="K51" s="8" t="s">
        <v>22</v>
      </c>
      <c r="L51" s="8" t="s">
        <v>23</v>
      </c>
      <c r="M51" s="2" t="s">
        <v>146</v>
      </c>
      <c r="N51" s="1" t="s">
        <v>138</v>
      </c>
      <c r="O51" s="11">
        <v>590</v>
      </c>
      <c r="P51" s="2" t="s">
        <v>201</v>
      </c>
      <c r="Q51" s="12" t="str">
        <f t="shared" si="10"/>
        <v>24</v>
      </c>
      <c r="R51" s="12" t="str">
        <f t="shared" si="11"/>
        <v>10</v>
      </c>
      <c r="S51" s="6" t="s">
        <v>140</v>
      </c>
      <c r="T51" s="1" t="s">
        <v>141</v>
      </c>
      <c r="U51" s="1" t="s">
        <v>148</v>
      </c>
      <c r="V51" s="1" t="s">
        <v>143</v>
      </c>
      <c r="W51" s="1" t="s">
        <v>133</v>
      </c>
      <c r="X51" s="5">
        <v>46205</v>
      </c>
      <c r="Y51" s="1">
        <f t="shared" si="12"/>
        <v>28</v>
      </c>
      <c r="Z51" s="5">
        <v>46205</v>
      </c>
      <c r="AA51" s="3"/>
      <c r="AB51" s="3"/>
      <c r="AD51" s="133" t="str">
        <f t="shared" si="3"/>
        <v>Closed In July</v>
      </c>
    </row>
    <row r="52" spans="1:30" hidden="1">
      <c r="A52" s="21">
        <v>46177</v>
      </c>
      <c r="B52" s="1">
        <v>2026</v>
      </c>
      <c r="C52" s="8" t="s">
        <v>21</v>
      </c>
      <c r="D52" s="8" t="s">
        <v>134</v>
      </c>
      <c r="E52" s="1"/>
      <c r="F52" s="1" t="s">
        <v>19</v>
      </c>
      <c r="G52" s="11" t="s">
        <v>135</v>
      </c>
      <c r="H52" s="8">
        <v>9578099893</v>
      </c>
      <c r="I52" s="10" t="s">
        <v>25</v>
      </c>
      <c r="J52" s="18" t="s">
        <v>136</v>
      </c>
      <c r="K52" s="8" t="s">
        <v>22</v>
      </c>
      <c r="L52" s="8" t="s">
        <v>23</v>
      </c>
      <c r="M52" s="2" t="s">
        <v>146</v>
      </c>
      <c r="N52" s="1" t="s">
        <v>138</v>
      </c>
      <c r="O52" s="11">
        <v>590</v>
      </c>
      <c r="P52" s="2" t="s">
        <v>202</v>
      </c>
      <c r="Q52" s="12" t="str">
        <f t="shared" si="10"/>
        <v>24</v>
      </c>
      <c r="R52" s="12" t="str">
        <f t="shared" si="11"/>
        <v>10</v>
      </c>
      <c r="S52" s="6" t="s">
        <v>140</v>
      </c>
      <c r="T52" s="1" t="s">
        <v>141</v>
      </c>
      <c r="U52" s="1" t="s">
        <v>148</v>
      </c>
      <c r="V52" s="1" t="s">
        <v>143</v>
      </c>
      <c r="W52" s="1" t="s">
        <v>133</v>
      </c>
      <c r="X52" s="5">
        <v>46205</v>
      </c>
      <c r="Y52" s="1">
        <f t="shared" si="12"/>
        <v>28</v>
      </c>
      <c r="Z52" s="5">
        <v>46205</v>
      </c>
      <c r="AA52" s="3"/>
      <c r="AB52" s="3"/>
      <c r="AD52" s="133" t="str">
        <f t="shared" si="3"/>
        <v>Closed In July</v>
      </c>
    </row>
    <row r="53" spans="1:30" hidden="1">
      <c r="A53" s="21">
        <v>46177</v>
      </c>
      <c r="B53" s="1">
        <v>2026</v>
      </c>
      <c r="C53" s="8" t="s">
        <v>21</v>
      </c>
      <c r="D53" s="8" t="s">
        <v>134</v>
      </c>
      <c r="E53" s="1"/>
      <c r="F53" s="1" t="s">
        <v>19</v>
      </c>
      <c r="G53" s="11" t="s">
        <v>135</v>
      </c>
      <c r="H53" s="8">
        <v>9578099893</v>
      </c>
      <c r="I53" s="10" t="s">
        <v>25</v>
      </c>
      <c r="J53" s="18" t="s">
        <v>136</v>
      </c>
      <c r="K53" s="8" t="s">
        <v>22</v>
      </c>
      <c r="L53" s="8" t="s">
        <v>23</v>
      </c>
      <c r="M53" s="2" t="s">
        <v>146</v>
      </c>
      <c r="N53" s="1" t="s">
        <v>138</v>
      </c>
      <c r="O53" s="11">
        <v>590</v>
      </c>
      <c r="P53" s="2" t="s">
        <v>203</v>
      </c>
      <c r="Q53" s="12" t="str">
        <f t="shared" si="10"/>
        <v>24</v>
      </c>
      <c r="R53" s="12" t="str">
        <f t="shared" si="11"/>
        <v>10</v>
      </c>
      <c r="S53" s="6" t="s">
        <v>140</v>
      </c>
      <c r="T53" s="1" t="s">
        <v>141</v>
      </c>
      <c r="U53" s="1" t="s">
        <v>148</v>
      </c>
      <c r="V53" s="1" t="s">
        <v>143</v>
      </c>
      <c r="W53" s="1" t="s">
        <v>133</v>
      </c>
      <c r="X53" s="5">
        <v>46205</v>
      </c>
      <c r="Y53" s="1">
        <f t="shared" si="12"/>
        <v>28</v>
      </c>
      <c r="Z53" s="5">
        <v>46205</v>
      </c>
      <c r="AA53" s="3"/>
      <c r="AB53" s="3"/>
      <c r="AD53" s="133" t="str">
        <f t="shared" si="3"/>
        <v>Closed In July</v>
      </c>
    </row>
    <row r="54" spans="1:30" hidden="1">
      <c r="A54" s="21">
        <v>46177</v>
      </c>
      <c r="B54" s="1">
        <v>2026</v>
      </c>
      <c r="C54" s="8" t="s">
        <v>21</v>
      </c>
      <c r="D54" s="8" t="s">
        <v>134</v>
      </c>
      <c r="E54" s="1"/>
      <c r="F54" s="1" t="s">
        <v>19</v>
      </c>
      <c r="G54" s="11" t="s">
        <v>135</v>
      </c>
      <c r="H54" s="8">
        <v>9578099893</v>
      </c>
      <c r="I54" s="10" t="s">
        <v>25</v>
      </c>
      <c r="J54" s="18" t="s">
        <v>136</v>
      </c>
      <c r="K54" s="8" t="s">
        <v>22</v>
      </c>
      <c r="L54" s="8" t="s">
        <v>23</v>
      </c>
      <c r="M54" s="2" t="s">
        <v>146</v>
      </c>
      <c r="N54" s="1" t="s">
        <v>138</v>
      </c>
      <c r="O54" s="11">
        <v>590</v>
      </c>
      <c r="P54" s="2" t="s">
        <v>204</v>
      </c>
      <c r="Q54" s="12" t="str">
        <f t="shared" si="10"/>
        <v>24</v>
      </c>
      <c r="R54" s="12" t="str">
        <f t="shared" si="11"/>
        <v>10</v>
      </c>
      <c r="S54" s="6" t="s">
        <v>140</v>
      </c>
      <c r="T54" s="1" t="s">
        <v>141</v>
      </c>
      <c r="U54" s="1" t="s">
        <v>148</v>
      </c>
      <c r="V54" s="1" t="s">
        <v>143</v>
      </c>
      <c r="W54" s="1" t="s">
        <v>133</v>
      </c>
      <c r="X54" s="5">
        <v>46205</v>
      </c>
      <c r="Y54" s="1">
        <f t="shared" si="12"/>
        <v>28</v>
      </c>
      <c r="Z54" s="5">
        <v>46205</v>
      </c>
      <c r="AA54" s="3"/>
      <c r="AB54" s="3"/>
      <c r="AD54" s="133" t="str">
        <f t="shared" si="3"/>
        <v>Closed In July</v>
      </c>
    </row>
    <row r="55" spans="1:30" hidden="1">
      <c r="A55" s="21">
        <v>46177</v>
      </c>
      <c r="B55" s="1">
        <v>2026</v>
      </c>
      <c r="C55" s="8" t="s">
        <v>21</v>
      </c>
      <c r="D55" s="8" t="s">
        <v>134</v>
      </c>
      <c r="E55" s="1"/>
      <c r="F55" s="1" t="s">
        <v>19</v>
      </c>
      <c r="G55" s="11" t="s">
        <v>135</v>
      </c>
      <c r="H55" s="8">
        <v>9578099893</v>
      </c>
      <c r="I55" s="10" t="s">
        <v>25</v>
      </c>
      <c r="J55" s="18" t="s">
        <v>136</v>
      </c>
      <c r="K55" s="8" t="s">
        <v>22</v>
      </c>
      <c r="L55" s="8" t="s">
        <v>23</v>
      </c>
      <c r="M55" s="2" t="s">
        <v>146</v>
      </c>
      <c r="N55" s="1" t="s">
        <v>138</v>
      </c>
      <c r="O55" s="11">
        <v>590</v>
      </c>
      <c r="P55" s="2" t="s">
        <v>205</v>
      </c>
      <c r="Q55" s="12" t="str">
        <f t="shared" si="10"/>
        <v>24</v>
      </c>
      <c r="R55" s="12" t="str">
        <f t="shared" si="11"/>
        <v>10</v>
      </c>
      <c r="S55" s="6" t="s">
        <v>140</v>
      </c>
      <c r="T55" s="1" t="s">
        <v>141</v>
      </c>
      <c r="U55" s="1" t="s">
        <v>148</v>
      </c>
      <c r="V55" s="1" t="s">
        <v>143</v>
      </c>
      <c r="W55" s="1" t="s">
        <v>133</v>
      </c>
      <c r="X55" s="5">
        <v>46205</v>
      </c>
      <c r="Y55" s="1">
        <f t="shared" si="12"/>
        <v>28</v>
      </c>
      <c r="Z55" s="5">
        <v>46205</v>
      </c>
      <c r="AA55" s="3"/>
      <c r="AB55" s="3"/>
      <c r="AD55" s="133" t="str">
        <f t="shared" si="3"/>
        <v>Closed In July</v>
      </c>
    </row>
    <row r="56" spans="1:30" hidden="1">
      <c r="A56" s="21">
        <v>46177</v>
      </c>
      <c r="B56" s="1">
        <v>2026</v>
      </c>
      <c r="C56" s="8" t="s">
        <v>21</v>
      </c>
      <c r="D56" s="8" t="s">
        <v>134</v>
      </c>
      <c r="E56" s="1"/>
      <c r="F56" s="1" t="s">
        <v>19</v>
      </c>
      <c r="G56" s="11" t="s">
        <v>135</v>
      </c>
      <c r="H56" s="8">
        <v>9578099893</v>
      </c>
      <c r="I56" s="10" t="s">
        <v>25</v>
      </c>
      <c r="J56" s="18" t="s">
        <v>136</v>
      </c>
      <c r="K56" s="8" t="s">
        <v>22</v>
      </c>
      <c r="L56" s="8" t="s">
        <v>23</v>
      </c>
      <c r="M56" s="2" t="s">
        <v>146</v>
      </c>
      <c r="N56" s="1" t="s">
        <v>138</v>
      </c>
      <c r="O56" s="11">
        <v>590</v>
      </c>
      <c r="P56" s="2" t="s">
        <v>206</v>
      </c>
      <c r="Q56" s="12" t="str">
        <f t="shared" si="10"/>
        <v>24</v>
      </c>
      <c r="R56" s="12" t="str">
        <f t="shared" si="11"/>
        <v>10</v>
      </c>
      <c r="S56" s="6" t="s">
        <v>140</v>
      </c>
      <c r="T56" s="1" t="s">
        <v>141</v>
      </c>
      <c r="U56" s="1" t="s">
        <v>148</v>
      </c>
      <c r="V56" s="1" t="s">
        <v>143</v>
      </c>
      <c r="W56" s="1" t="s">
        <v>133</v>
      </c>
      <c r="X56" s="5">
        <v>46205</v>
      </c>
      <c r="Y56" s="1">
        <f t="shared" si="12"/>
        <v>28</v>
      </c>
      <c r="Z56" s="5">
        <v>46205</v>
      </c>
      <c r="AA56" s="3"/>
      <c r="AB56" s="3"/>
      <c r="AD56" s="133" t="str">
        <f t="shared" si="3"/>
        <v>Closed In July</v>
      </c>
    </row>
    <row r="57" spans="1:30" hidden="1">
      <c r="A57" s="21">
        <v>46177</v>
      </c>
      <c r="B57" s="1">
        <v>2026</v>
      </c>
      <c r="C57" s="8" t="s">
        <v>21</v>
      </c>
      <c r="D57" s="8" t="s">
        <v>134</v>
      </c>
      <c r="E57" s="1"/>
      <c r="F57" s="1" t="s">
        <v>19</v>
      </c>
      <c r="G57" s="11" t="s">
        <v>135</v>
      </c>
      <c r="H57" s="8">
        <v>9578099893</v>
      </c>
      <c r="I57" s="10" t="s">
        <v>25</v>
      </c>
      <c r="J57" s="18" t="s">
        <v>136</v>
      </c>
      <c r="K57" s="8" t="s">
        <v>22</v>
      </c>
      <c r="L57" s="8" t="s">
        <v>23</v>
      </c>
      <c r="M57" s="2" t="s">
        <v>146</v>
      </c>
      <c r="N57" s="1" t="s">
        <v>138</v>
      </c>
      <c r="O57" s="11">
        <v>590</v>
      </c>
      <c r="P57" s="2" t="s">
        <v>207</v>
      </c>
      <c r="Q57" s="12" t="str">
        <f t="shared" si="10"/>
        <v>24</v>
      </c>
      <c r="R57" s="12" t="str">
        <f t="shared" si="11"/>
        <v>10</v>
      </c>
      <c r="S57" s="6" t="s">
        <v>140</v>
      </c>
      <c r="T57" s="1" t="s">
        <v>141</v>
      </c>
      <c r="U57" s="1" t="s">
        <v>148</v>
      </c>
      <c r="V57" s="1" t="s">
        <v>143</v>
      </c>
      <c r="W57" s="1" t="s">
        <v>133</v>
      </c>
      <c r="X57" s="5">
        <v>46205</v>
      </c>
      <c r="Y57" s="1">
        <f t="shared" si="12"/>
        <v>28</v>
      </c>
      <c r="Z57" s="5">
        <v>46205</v>
      </c>
      <c r="AA57" s="3"/>
      <c r="AB57" s="3"/>
      <c r="AD57" s="133" t="str">
        <f t="shared" si="3"/>
        <v>Closed In July</v>
      </c>
    </row>
    <row r="58" spans="1:30" hidden="1">
      <c r="A58" s="21">
        <v>46177</v>
      </c>
      <c r="B58" s="1">
        <v>2026</v>
      </c>
      <c r="C58" s="8" t="s">
        <v>21</v>
      </c>
      <c r="D58" s="8" t="s">
        <v>134</v>
      </c>
      <c r="E58" s="1"/>
      <c r="F58" s="1" t="s">
        <v>19</v>
      </c>
      <c r="G58" s="11" t="s">
        <v>135</v>
      </c>
      <c r="H58" s="8">
        <v>9578099893</v>
      </c>
      <c r="I58" s="10" t="s">
        <v>25</v>
      </c>
      <c r="J58" s="18" t="s">
        <v>136</v>
      </c>
      <c r="K58" s="8" t="s">
        <v>22</v>
      </c>
      <c r="L58" s="8" t="s">
        <v>23</v>
      </c>
      <c r="M58" s="2" t="s">
        <v>146</v>
      </c>
      <c r="N58" s="1" t="s">
        <v>138</v>
      </c>
      <c r="O58" s="11">
        <v>590</v>
      </c>
      <c r="P58" s="2" t="s">
        <v>208</v>
      </c>
      <c r="Q58" s="12" t="str">
        <f t="shared" si="10"/>
        <v>24</v>
      </c>
      <c r="R58" s="12" t="str">
        <f t="shared" si="11"/>
        <v>10</v>
      </c>
      <c r="S58" s="6" t="s">
        <v>140</v>
      </c>
      <c r="T58" s="1" t="s">
        <v>141</v>
      </c>
      <c r="U58" s="1" t="s">
        <v>148</v>
      </c>
      <c r="V58" s="1" t="s">
        <v>143</v>
      </c>
      <c r="W58" s="1" t="s">
        <v>133</v>
      </c>
      <c r="X58" s="5">
        <v>46205</v>
      </c>
      <c r="Y58" s="1">
        <f t="shared" si="12"/>
        <v>28</v>
      </c>
      <c r="Z58" s="5">
        <v>46205</v>
      </c>
      <c r="AA58" s="3"/>
      <c r="AB58" s="3"/>
      <c r="AD58" s="133" t="str">
        <f t="shared" si="3"/>
        <v>Closed In July</v>
      </c>
    </row>
    <row r="59" spans="1:30" hidden="1">
      <c r="A59" s="21">
        <v>46177</v>
      </c>
      <c r="B59" s="1">
        <v>2026</v>
      </c>
      <c r="C59" s="8" t="s">
        <v>21</v>
      </c>
      <c r="D59" s="8" t="s">
        <v>134</v>
      </c>
      <c r="E59" s="1"/>
      <c r="F59" s="1" t="s">
        <v>19</v>
      </c>
      <c r="G59" s="11" t="s">
        <v>135</v>
      </c>
      <c r="H59" s="8">
        <v>9578099893</v>
      </c>
      <c r="I59" s="10" t="s">
        <v>25</v>
      </c>
      <c r="J59" s="18" t="s">
        <v>136</v>
      </c>
      <c r="K59" s="8" t="s">
        <v>22</v>
      </c>
      <c r="L59" s="8" t="s">
        <v>23</v>
      </c>
      <c r="M59" s="2" t="s">
        <v>146</v>
      </c>
      <c r="N59" s="1" t="s">
        <v>138</v>
      </c>
      <c r="O59" s="11">
        <v>590</v>
      </c>
      <c r="P59" s="2" t="s">
        <v>209</v>
      </c>
      <c r="Q59" s="12" t="str">
        <f t="shared" si="10"/>
        <v>24</v>
      </c>
      <c r="R59" s="12" t="str">
        <f t="shared" si="11"/>
        <v>10</v>
      </c>
      <c r="S59" s="6" t="s">
        <v>140</v>
      </c>
      <c r="T59" s="1" t="s">
        <v>141</v>
      </c>
      <c r="U59" s="1" t="s">
        <v>148</v>
      </c>
      <c r="V59" s="1" t="s">
        <v>143</v>
      </c>
      <c r="W59" s="1" t="s">
        <v>133</v>
      </c>
      <c r="X59" s="5">
        <v>46205</v>
      </c>
      <c r="Y59" s="1">
        <f t="shared" si="12"/>
        <v>28</v>
      </c>
      <c r="Z59" s="5">
        <v>46205</v>
      </c>
      <c r="AA59" s="3"/>
      <c r="AB59" s="3"/>
      <c r="AD59" s="133" t="str">
        <f t="shared" si="3"/>
        <v>Closed In July</v>
      </c>
    </row>
    <row r="60" spans="1:30" hidden="1">
      <c r="A60" s="21">
        <v>46177</v>
      </c>
      <c r="B60" s="1">
        <v>2026</v>
      </c>
      <c r="C60" s="8" t="s">
        <v>21</v>
      </c>
      <c r="D60" s="8" t="s">
        <v>134</v>
      </c>
      <c r="E60" s="1"/>
      <c r="F60" s="1" t="s">
        <v>19</v>
      </c>
      <c r="G60" s="11" t="s">
        <v>135</v>
      </c>
      <c r="H60" s="8">
        <v>9578099893</v>
      </c>
      <c r="I60" s="10" t="s">
        <v>25</v>
      </c>
      <c r="J60" s="18" t="s">
        <v>136</v>
      </c>
      <c r="K60" s="8" t="s">
        <v>22</v>
      </c>
      <c r="L60" s="8" t="s">
        <v>23</v>
      </c>
      <c r="M60" s="2" t="s">
        <v>146</v>
      </c>
      <c r="N60" s="1" t="s">
        <v>138</v>
      </c>
      <c r="O60" s="11">
        <v>590</v>
      </c>
      <c r="P60" s="2" t="s">
        <v>210</v>
      </c>
      <c r="Q60" s="12" t="str">
        <f t="shared" si="10"/>
        <v>24</v>
      </c>
      <c r="R60" s="12" t="str">
        <f t="shared" si="11"/>
        <v>10</v>
      </c>
      <c r="S60" s="6" t="s">
        <v>140</v>
      </c>
      <c r="T60" s="1" t="s">
        <v>141</v>
      </c>
      <c r="U60" s="1" t="s">
        <v>148</v>
      </c>
      <c r="V60" s="1" t="s">
        <v>143</v>
      </c>
      <c r="W60" s="1" t="s">
        <v>133</v>
      </c>
      <c r="X60" s="5">
        <v>46205</v>
      </c>
      <c r="Y60" s="1">
        <f t="shared" si="12"/>
        <v>28</v>
      </c>
      <c r="Z60" s="5">
        <v>46205</v>
      </c>
      <c r="AA60" s="3"/>
      <c r="AB60" s="3"/>
      <c r="AD60" s="133" t="str">
        <f t="shared" si="3"/>
        <v>Closed In July</v>
      </c>
    </row>
    <row r="61" spans="1:30" hidden="1">
      <c r="A61" s="21">
        <v>46177</v>
      </c>
      <c r="B61" s="1">
        <v>2026</v>
      </c>
      <c r="C61" s="8" t="s">
        <v>21</v>
      </c>
      <c r="D61" s="8" t="s">
        <v>134</v>
      </c>
      <c r="E61" s="1"/>
      <c r="F61" s="1" t="s">
        <v>19</v>
      </c>
      <c r="G61" s="11" t="s">
        <v>135</v>
      </c>
      <c r="H61" s="8">
        <v>9578099893</v>
      </c>
      <c r="I61" s="10" t="s">
        <v>25</v>
      </c>
      <c r="J61" s="18" t="s">
        <v>136</v>
      </c>
      <c r="K61" s="8" t="s">
        <v>22</v>
      </c>
      <c r="L61" s="8" t="s">
        <v>23</v>
      </c>
      <c r="M61" s="2" t="s">
        <v>146</v>
      </c>
      <c r="N61" s="1" t="s">
        <v>138</v>
      </c>
      <c r="O61" s="11">
        <v>590</v>
      </c>
      <c r="P61" s="2" t="s">
        <v>211</v>
      </c>
      <c r="Q61" s="12" t="str">
        <f t="shared" si="10"/>
        <v>24</v>
      </c>
      <c r="R61" s="12" t="str">
        <f t="shared" si="11"/>
        <v>10</v>
      </c>
      <c r="S61" s="6" t="s">
        <v>140</v>
      </c>
      <c r="T61" s="1" t="s">
        <v>141</v>
      </c>
      <c r="U61" s="1" t="s">
        <v>148</v>
      </c>
      <c r="V61" s="1" t="s">
        <v>143</v>
      </c>
      <c r="W61" s="1" t="s">
        <v>133</v>
      </c>
      <c r="X61" s="5">
        <v>46205</v>
      </c>
      <c r="Y61" s="1">
        <f t="shared" si="12"/>
        <v>28</v>
      </c>
      <c r="Z61" s="5">
        <v>46205</v>
      </c>
      <c r="AA61" s="3"/>
      <c r="AB61" s="3"/>
      <c r="AD61" s="133" t="str">
        <f t="shared" si="3"/>
        <v>Closed In July</v>
      </c>
    </row>
    <row r="62" spans="1:30" hidden="1">
      <c r="A62" s="21">
        <v>46177</v>
      </c>
      <c r="B62" s="1">
        <v>2026</v>
      </c>
      <c r="C62" s="8" t="s">
        <v>21</v>
      </c>
      <c r="D62" s="8" t="s">
        <v>134</v>
      </c>
      <c r="E62" s="1"/>
      <c r="F62" s="1" t="s">
        <v>19</v>
      </c>
      <c r="G62" s="11" t="s">
        <v>135</v>
      </c>
      <c r="H62" s="8">
        <v>9578099893</v>
      </c>
      <c r="I62" s="10" t="s">
        <v>25</v>
      </c>
      <c r="J62" s="18" t="s">
        <v>136</v>
      </c>
      <c r="K62" s="8" t="s">
        <v>22</v>
      </c>
      <c r="L62" s="8" t="s">
        <v>23</v>
      </c>
      <c r="M62" s="2" t="s">
        <v>146</v>
      </c>
      <c r="N62" s="1" t="s">
        <v>138</v>
      </c>
      <c r="O62" s="11">
        <v>590</v>
      </c>
      <c r="P62" s="2" t="s">
        <v>212</v>
      </c>
      <c r="Q62" s="12" t="str">
        <f t="shared" si="10"/>
        <v>24</v>
      </c>
      <c r="R62" s="12" t="str">
        <f t="shared" si="11"/>
        <v>10</v>
      </c>
      <c r="S62" s="6" t="s">
        <v>140</v>
      </c>
      <c r="T62" s="1" t="s">
        <v>141</v>
      </c>
      <c r="U62" s="1" t="s">
        <v>148</v>
      </c>
      <c r="V62" s="1" t="s">
        <v>143</v>
      </c>
      <c r="W62" s="1" t="s">
        <v>133</v>
      </c>
      <c r="X62" s="5">
        <v>46205</v>
      </c>
      <c r="Y62" s="1">
        <f t="shared" si="12"/>
        <v>28</v>
      </c>
      <c r="Z62" s="5">
        <v>46205</v>
      </c>
      <c r="AA62" s="3"/>
      <c r="AB62" s="3"/>
      <c r="AD62" s="133" t="str">
        <f t="shared" si="3"/>
        <v>Closed In July</v>
      </c>
    </row>
    <row r="63" spans="1:30" hidden="1">
      <c r="A63" s="21">
        <v>46177</v>
      </c>
      <c r="B63" s="1">
        <v>2026</v>
      </c>
      <c r="C63" s="8" t="s">
        <v>21</v>
      </c>
      <c r="D63" s="8" t="s">
        <v>134</v>
      </c>
      <c r="E63" s="1"/>
      <c r="F63" s="1" t="s">
        <v>19</v>
      </c>
      <c r="G63" s="11" t="s">
        <v>135</v>
      </c>
      <c r="H63" s="8">
        <v>9578099893</v>
      </c>
      <c r="I63" s="10" t="s">
        <v>25</v>
      </c>
      <c r="J63" s="18" t="s">
        <v>136</v>
      </c>
      <c r="K63" s="8" t="s">
        <v>22</v>
      </c>
      <c r="L63" s="8" t="s">
        <v>23</v>
      </c>
      <c r="M63" s="2" t="s">
        <v>146</v>
      </c>
      <c r="N63" s="1" t="s">
        <v>138</v>
      </c>
      <c r="O63" s="11">
        <v>590</v>
      </c>
      <c r="P63" s="2" t="s">
        <v>213</v>
      </c>
      <c r="Q63" s="12" t="str">
        <f t="shared" si="10"/>
        <v>24</v>
      </c>
      <c r="R63" s="12" t="str">
        <f t="shared" si="11"/>
        <v>10</v>
      </c>
      <c r="S63" s="6" t="s">
        <v>140</v>
      </c>
      <c r="T63" s="1" t="s">
        <v>141</v>
      </c>
      <c r="U63" s="1" t="s">
        <v>148</v>
      </c>
      <c r="V63" s="1" t="s">
        <v>143</v>
      </c>
      <c r="W63" s="1" t="s">
        <v>133</v>
      </c>
      <c r="X63" s="5">
        <v>46205</v>
      </c>
      <c r="Y63" s="1">
        <f t="shared" si="12"/>
        <v>28</v>
      </c>
      <c r="Z63" s="5">
        <v>46205</v>
      </c>
      <c r="AA63" s="3"/>
      <c r="AB63" s="3"/>
      <c r="AD63" s="133" t="str">
        <f t="shared" si="3"/>
        <v>Closed In July</v>
      </c>
    </row>
    <row r="64" spans="1:30" hidden="1">
      <c r="A64" s="21">
        <v>46177</v>
      </c>
      <c r="B64" s="1">
        <v>2026</v>
      </c>
      <c r="C64" s="8" t="s">
        <v>21</v>
      </c>
      <c r="D64" s="8" t="s">
        <v>134</v>
      </c>
      <c r="E64" s="1"/>
      <c r="F64" s="1" t="s">
        <v>19</v>
      </c>
      <c r="G64" s="11" t="s">
        <v>135</v>
      </c>
      <c r="H64" s="8">
        <v>9578099893</v>
      </c>
      <c r="I64" s="10" t="s">
        <v>25</v>
      </c>
      <c r="J64" s="18" t="s">
        <v>136</v>
      </c>
      <c r="K64" s="8" t="s">
        <v>22</v>
      </c>
      <c r="L64" s="8" t="s">
        <v>23</v>
      </c>
      <c r="M64" s="2" t="s">
        <v>146</v>
      </c>
      <c r="N64" s="1" t="s">
        <v>138</v>
      </c>
      <c r="O64" s="11">
        <v>590</v>
      </c>
      <c r="P64" s="2" t="s">
        <v>214</v>
      </c>
      <c r="Q64" s="12" t="str">
        <f t="shared" si="10"/>
        <v>24</v>
      </c>
      <c r="R64" s="12" t="str">
        <f t="shared" si="11"/>
        <v>10</v>
      </c>
      <c r="S64" s="6" t="s">
        <v>140</v>
      </c>
      <c r="T64" s="1" t="s">
        <v>141</v>
      </c>
      <c r="U64" s="1" t="s">
        <v>148</v>
      </c>
      <c r="V64" s="1" t="s">
        <v>143</v>
      </c>
      <c r="W64" s="1" t="s">
        <v>133</v>
      </c>
      <c r="X64" s="5">
        <v>46205</v>
      </c>
      <c r="Y64" s="1">
        <f t="shared" si="12"/>
        <v>28</v>
      </c>
      <c r="Z64" s="5">
        <v>46205</v>
      </c>
      <c r="AA64" s="3"/>
      <c r="AB64" s="3"/>
      <c r="AD64" s="133" t="str">
        <f t="shared" si="3"/>
        <v>Closed In July</v>
      </c>
    </row>
    <row r="65" spans="1:30" hidden="1">
      <c r="A65" s="21">
        <v>46177</v>
      </c>
      <c r="B65" s="1">
        <v>2026</v>
      </c>
      <c r="C65" s="8" t="s">
        <v>21</v>
      </c>
      <c r="D65" s="8" t="s">
        <v>134</v>
      </c>
      <c r="E65" s="1"/>
      <c r="F65" s="1" t="s">
        <v>19</v>
      </c>
      <c r="G65" s="11" t="s">
        <v>135</v>
      </c>
      <c r="H65" s="8">
        <v>9578099893</v>
      </c>
      <c r="I65" s="10" t="s">
        <v>25</v>
      </c>
      <c r="J65" s="18" t="s">
        <v>136</v>
      </c>
      <c r="K65" s="8" t="s">
        <v>22</v>
      </c>
      <c r="L65" s="8" t="s">
        <v>23</v>
      </c>
      <c r="M65" s="2" t="s">
        <v>146</v>
      </c>
      <c r="N65" s="1" t="s">
        <v>138</v>
      </c>
      <c r="O65" s="11">
        <v>590</v>
      </c>
      <c r="P65" s="2" t="s">
        <v>215</v>
      </c>
      <c r="Q65" s="12" t="str">
        <f t="shared" si="10"/>
        <v>24</v>
      </c>
      <c r="R65" s="12" t="str">
        <f t="shared" si="11"/>
        <v>10</v>
      </c>
      <c r="S65" s="6" t="s">
        <v>140</v>
      </c>
      <c r="T65" s="1" t="s">
        <v>141</v>
      </c>
      <c r="U65" s="1" t="s">
        <v>148</v>
      </c>
      <c r="V65" s="1" t="s">
        <v>143</v>
      </c>
      <c r="W65" s="1" t="s">
        <v>133</v>
      </c>
      <c r="X65" s="5">
        <v>46205</v>
      </c>
      <c r="Y65" s="1">
        <f t="shared" si="12"/>
        <v>28</v>
      </c>
      <c r="Z65" s="5">
        <v>46205</v>
      </c>
      <c r="AA65" s="3"/>
      <c r="AB65" s="3"/>
      <c r="AD65" s="133" t="str">
        <f t="shared" si="3"/>
        <v>Closed In July</v>
      </c>
    </row>
    <row r="66" spans="1:30" hidden="1">
      <c r="A66" s="21">
        <v>46177</v>
      </c>
      <c r="B66" s="1">
        <v>2026</v>
      </c>
      <c r="C66" s="8" t="s">
        <v>21</v>
      </c>
      <c r="D66" s="8" t="s">
        <v>134</v>
      </c>
      <c r="E66" s="1"/>
      <c r="F66" s="1" t="s">
        <v>19</v>
      </c>
      <c r="G66" s="11" t="s">
        <v>135</v>
      </c>
      <c r="H66" s="8">
        <v>9578099893</v>
      </c>
      <c r="I66" s="10" t="s">
        <v>25</v>
      </c>
      <c r="J66" s="18" t="s">
        <v>136</v>
      </c>
      <c r="K66" s="8" t="s">
        <v>22</v>
      </c>
      <c r="L66" s="8" t="s">
        <v>23</v>
      </c>
      <c r="M66" s="2" t="s">
        <v>146</v>
      </c>
      <c r="N66" s="1" t="s">
        <v>138</v>
      </c>
      <c r="O66" s="11">
        <v>590</v>
      </c>
      <c r="P66" s="2" t="s">
        <v>216</v>
      </c>
      <c r="Q66" s="12" t="str">
        <f t="shared" si="10"/>
        <v>24</v>
      </c>
      <c r="R66" s="12" t="str">
        <f t="shared" si="11"/>
        <v>10</v>
      </c>
      <c r="S66" s="6" t="s">
        <v>140</v>
      </c>
      <c r="T66" s="1" t="s">
        <v>141</v>
      </c>
      <c r="U66" s="1" t="s">
        <v>148</v>
      </c>
      <c r="V66" s="1" t="s">
        <v>143</v>
      </c>
      <c r="W66" s="1" t="s">
        <v>133</v>
      </c>
      <c r="X66" s="5">
        <v>46205</v>
      </c>
      <c r="Y66" s="1">
        <f t="shared" si="12"/>
        <v>28</v>
      </c>
      <c r="Z66" s="5">
        <v>46205</v>
      </c>
      <c r="AA66" s="3"/>
      <c r="AB66" s="3"/>
      <c r="AD66" s="133" t="str">
        <f t="shared" si="3"/>
        <v>Closed In July</v>
      </c>
    </row>
    <row r="67" spans="1:30" hidden="1">
      <c r="A67" s="21">
        <v>46177</v>
      </c>
      <c r="B67" s="1">
        <v>2026</v>
      </c>
      <c r="C67" s="8" t="s">
        <v>21</v>
      </c>
      <c r="D67" s="8" t="s">
        <v>134</v>
      </c>
      <c r="E67" s="1"/>
      <c r="F67" s="1" t="s">
        <v>19</v>
      </c>
      <c r="G67" s="11" t="s">
        <v>135</v>
      </c>
      <c r="H67" s="8">
        <v>9578099893</v>
      </c>
      <c r="I67" s="10" t="s">
        <v>25</v>
      </c>
      <c r="J67" s="18" t="s">
        <v>136</v>
      </c>
      <c r="K67" s="8" t="s">
        <v>22</v>
      </c>
      <c r="L67" s="8" t="s">
        <v>23</v>
      </c>
      <c r="M67" s="2" t="s">
        <v>146</v>
      </c>
      <c r="N67" s="1" t="s">
        <v>138</v>
      </c>
      <c r="O67" s="11">
        <v>590</v>
      </c>
      <c r="P67" s="2" t="s">
        <v>217</v>
      </c>
      <c r="Q67" s="12" t="str">
        <f t="shared" si="10"/>
        <v>24</v>
      </c>
      <c r="R67" s="12" t="str">
        <f t="shared" si="11"/>
        <v>10</v>
      </c>
      <c r="S67" s="6" t="s">
        <v>140</v>
      </c>
      <c r="T67" s="1" t="s">
        <v>141</v>
      </c>
      <c r="U67" s="1" t="s">
        <v>148</v>
      </c>
      <c r="V67" s="1" t="s">
        <v>143</v>
      </c>
      <c r="W67" s="1" t="s">
        <v>133</v>
      </c>
      <c r="X67" s="5">
        <v>46205</v>
      </c>
      <c r="Y67" s="1">
        <f t="shared" si="12"/>
        <v>28</v>
      </c>
      <c r="Z67" s="5">
        <v>46205</v>
      </c>
      <c r="AA67" s="3"/>
      <c r="AB67" s="3"/>
      <c r="AD67" s="133" t="str">
        <f t="shared" ref="AD67:AD130" si="13">IF(AND(F67="Closed",X67&gt;=DATE(2026,7,1),X67&lt;=DATE(2026,7,31)),"Closed In July","Other")</f>
        <v>Closed In July</v>
      </c>
    </row>
    <row r="68" spans="1:30" hidden="1">
      <c r="A68" s="21">
        <v>46177</v>
      </c>
      <c r="B68" s="1">
        <v>2026</v>
      </c>
      <c r="C68" s="8" t="s">
        <v>21</v>
      </c>
      <c r="D68" s="8" t="s">
        <v>134</v>
      </c>
      <c r="E68" s="1"/>
      <c r="F68" s="1" t="s">
        <v>19</v>
      </c>
      <c r="G68" s="11" t="s">
        <v>135</v>
      </c>
      <c r="H68" s="8">
        <v>9578099893</v>
      </c>
      <c r="I68" s="10" t="s">
        <v>25</v>
      </c>
      <c r="J68" s="18" t="s">
        <v>136</v>
      </c>
      <c r="K68" s="8" t="s">
        <v>22</v>
      </c>
      <c r="L68" s="8" t="s">
        <v>23</v>
      </c>
      <c r="M68" s="2" t="s">
        <v>146</v>
      </c>
      <c r="N68" s="1" t="s">
        <v>138</v>
      </c>
      <c r="O68" s="11">
        <v>590</v>
      </c>
      <c r="P68" s="2" t="s">
        <v>218</v>
      </c>
      <c r="Q68" s="12" t="str">
        <f t="shared" si="10"/>
        <v>24</v>
      </c>
      <c r="R68" s="12" t="str">
        <f t="shared" si="11"/>
        <v>10</v>
      </c>
      <c r="S68" s="6" t="s">
        <v>140</v>
      </c>
      <c r="T68" s="1" t="s">
        <v>141</v>
      </c>
      <c r="U68" s="1" t="s">
        <v>148</v>
      </c>
      <c r="V68" s="1" t="s">
        <v>143</v>
      </c>
      <c r="W68" s="1" t="s">
        <v>133</v>
      </c>
      <c r="X68" s="5">
        <v>46205</v>
      </c>
      <c r="Y68" s="1">
        <f t="shared" si="12"/>
        <v>28</v>
      </c>
      <c r="Z68" s="5">
        <v>46205</v>
      </c>
      <c r="AA68" s="3"/>
      <c r="AB68" s="3"/>
      <c r="AD68" s="133" t="str">
        <f t="shared" si="13"/>
        <v>Closed In July</v>
      </c>
    </row>
    <row r="69" spans="1:30" hidden="1">
      <c r="A69" s="21">
        <v>46177</v>
      </c>
      <c r="B69" s="1">
        <v>2026</v>
      </c>
      <c r="C69" s="8" t="s">
        <v>21</v>
      </c>
      <c r="D69" s="8" t="s">
        <v>134</v>
      </c>
      <c r="E69" s="1"/>
      <c r="F69" s="1" t="s">
        <v>19</v>
      </c>
      <c r="G69" s="11" t="s">
        <v>135</v>
      </c>
      <c r="H69" s="8">
        <v>9578099893</v>
      </c>
      <c r="I69" s="10" t="s">
        <v>25</v>
      </c>
      <c r="J69" s="18" t="s">
        <v>136</v>
      </c>
      <c r="K69" s="8" t="s">
        <v>22</v>
      </c>
      <c r="L69" s="8" t="s">
        <v>23</v>
      </c>
      <c r="M69" s="2" t="s">
        <v>146</v>
      </c>
      <c r="N69" s="1" t="s">
        <v>138</v>
      </c>
      <c r="O69" s="11">
        <v>590</v>
      </c>
      <c r="P69" s="2" t="s">
        <v>219</v>
      </c>
      <c r="Q69" s="12" t="str">
        <f t="shared" si="10"/>
        <v>24</v>
      </c>
      <c r="R69" s="12" t="str">
        <f t="shared" si="11"/>
        <v>10</v>
      </c>
      <c r="S69" s="6" t="s">
        <v>140</v>
      </c>
      <c r="T69" s="1" t="s">
        <v>141</v>
      </c>
      <c r="U69" s="1" t="s">
        <v>148</v>
      </c>
      <c r="V69" s="1" t="s">
        <v>143</v>
      </c>
      <c r="W69" s="1" t="s">
        <v>133</v>
      </c>
      <c r="X69" s="5">
        <v>46205</v>
      </c>
      <c r="Y69" s="1">
        <f t="shared" si="12"/>
        <v>28</v>
      </c>
      <c r="Z69" s="5">
        <v>46205</v>
      </c>
      <c r="AA69" s="3"/>
      <c r="AB69" s="3"/>
      <c r="AD69" s="133" t="str">
        <f t="shared" si="13"/>
        <v>Closed In July</v>
      </c>
    </row>
    <row r="70" spans="1:30" hidden="1">
      <c r="A70" s="21">
        <v>46177</v>
      </c>
      <c r="B70" s="1">
        <v>2026</v>
      </c>
      <c r="C70" s="8" t="s">
        <v>21</v>
      </c>
      <c r="D70" s="8" t="s">
        <v>134</v>
      </c>
      <c r="E70" s="1"/>
      <c r="F70" s="1" t="s">
        <v>19</v>
      </c>
      <c r="G70" s="11" t="s">
        <v>135</v>
      </c>
      <c r="H70" s="8">
        <v>9578099893</v>
      </c>
      <c r="I70" s="10" t="s">
        <v>25</v>
      </c>
      <c r="J70" s="18" t="s">
        <v>136</v>
      </c>
      <c r="K70" s="8" t="s">
        <v>22</v>
      </c>
      <c r="L70" s="8" t="s">
        <v>23</v>
      </c>
      <c r="M70" s="2" t="s">
        <v>137</v>
      </c>
      <c r="N70" s="1" t="s">
        <v>138</v>
      </c>
      <c r="O70" s="11">
        <v>590</v>
      </c>
      <c r="P70" s="2" t="s">
        <v>220</v>
      </c>
      <c r="Q70" s="12" t="str">
        <f t="shared" si="10"/>
        <v>24</v>
      </c>
      <c r="R70" s="12" t="str">
        <f t="shared" si="11"/>
        <v>10</v>
      </c>
      <c r="S70" s="6" t="s">
        <v>140</v>
      </c>
      <c r="T70" s="1" t="s">
        <v>141</v>
      </c>
      <c r="U70" s="6" t="s">
        <v>142</v>
      </c>
      <c r="V70" s="6" t="s">
        <v>143</v>
      </c>
      <c r="W70" s="1" t="s">
        <v>133</v>
      </c>
      <c r="X70" s="5">
        <v>46205</v>
      </c>
      <c r="Y70" s="1">
        <f t="shared" si="12"/>
        <v>28</v>
      </c>
      <c r="Z70" s="5">
        <v>46205</v>
      </c>
      <c r="AA70" s="3"/>
      <c r="AB70" s="3"/>
      <c r="AD70" s="133" t="str">
        <f t="shared" si="13"/>
        <v>Closed In July</v>
      </c>
    </row>
    <row r="71" spans="1:30" hidden="1">
      <c r="A71" s="21">
        <v>46177</v>
      </c>
      <c r="B71" s="1">
        <v>2026</v>
      </c>
      <c r="C71" s="8" t="s">
        <v>21</v>
      </c>
      <c r="D71" s="8" t="s">
        <v>134</v>
      </c>
      <c r="E71" s="1"/>
      <c r="F71" s="1" t="s">
        <v>19</v>
      </c>
      <c r="G71" s="11" t="s">
        <v>135</v>
      </c>
      <c r="H71" s="8">
        <v>9578099893</v>
      </c>
      <c r="I71" s="10" t="s">
        <v>25</v>
      </c>
      <c r="J71" s="18" t="s">
        <v>136</v>
      </c>
      <c r="K71" s="8" t="s">
        <v>22</v>
      </c>
      <c r="L71" s="8" t="s">
        <v>23</v>
      </c>
      <c r="M71" s="2" t="s">
        <v>146</v>
      </c>
      <c r="N71" s="1" t="s">
        <v>138</v>
      </c>
      <c r="O71" s="11">
        <v>590</v>
      </c>
      <c r="P71" s="2" t="s">
        <v>221</v>
      </c>
      <c r="Q71" s="12" t="str">
        <f t="shared" si="10"/>
        <v>24</v>
      </c>
      <c r="R71" s="12" t="str">
        <f t="shared" si="11"/>
        <v>10</v>
      </c>
      <c r="S71" s="6" t="s">
        <v>140</v>
      </c>
      <c r="T71" s="1" t="s">
        <v>141</v>
      </c>
      <c r="U71" s="1" t="s">
        <v>148</v>
      </c>
      <c r="V71" s="1" t="s">
        <v>143</v>
      </c>
      <c r="W71" s="1" t="s">
        <v>133</v>
      </c>
      <c r="X71" s="5">
        <v>46205</v>
      </c>
      <c r="Y71" s="1">
        <f t="shared" si="12"/>
        <v>28</v>
      </c>
      <c r="Z71" s="5">
        <v>46205</v>
      </c>
      <c r="AA71" s="3"/>
      <c r="AB71" s="3"/>
      <c r="AD71" s="133" t="str">
        <f t="shared" si="13"/>
        <v>Closed In July</v>
      </c>
    </row>
    <row r="72" spans="1:30" hidden="1">
      <c r="A72" s="21">
        <v>46177</v>
      </c>
      <c r="B72" s="1">
        <v>2026</v>
      </c>
      <c r="C72" s="8" t="s">
        <v>21</v>
      </c>
      <c r="D72" s="8" t="s">
        <v>134</v>
      </c>
      <c r="E72" s="1"/>
      <c r="F72" s="1" t="s">
        <v>19</v>
      </c>
      <c r="G72" s="11" t="s">
        <v>135</v>
      </c>
      <c r="H72" s="8">
        <v>9578099893</v>
      </c>
      <c r="I72" s="10" t="s">
        <v>25</v>
      </c>
      <c r="J72" s="18" t="s">
        <v>136</v>
      </c>
      <c r="K72" s="8" t="s">
        <v>22</v>
      </c>
      <c r="L72" s="8" t="s">
        <v>23</v>
      </c>
      <c r="M72" s="2" t="s">
        <v>146</v>
      </c>
      <c r="N72" s="1" t="s">
        <v>138</v>
      </c>
      <c r="O72" s="11">
        <v>590</v>
      </c>
      <c r="P72" s="2" t="s">
        <v>222</v>
      </c>
      <c r="Q72" s="12" t="str">
        <f t="shared" si="10"/>
        <v>24</v>
      </c>
      <c r="R72" s="12" t="str">
        <f t="shared" si="11"/>
        <v>10</v>
      </c>
      <c r="S72" s="6" t="s">
        <v>140</v>
      </c>
      <c r="T72" s="1" t="s">
        <v>141</v>
      </c>
      <c r="U72" s="1" t="s">
        <v>148</v>
      </c>
      <c r="V72" s="1" t="s">
        <v>143</v>
      </c>
      <c r="W72" s="1" t="s">
        <v>133</v>
      </c>
      <c r="X72" s="5">
        <v>46205</v>
      </c>
      <c r="Y72" s="1">
        <f t="shared" si="12"/>
        <v>28</v>
      </c>
      <c r="Z72" s="5">
        <v>46205</v>
      </c>
      <c r="AA72" s="3"/>
      <c r="AB72" s="3"/>
      <c r="AD72" s="133" t="str">
        <f t="shared" si="13"/>
        <v>Closed In July</v>
      </c>
    </row>
    <row r="73" spans="1:30" hidden="1">
      <c r="A73" s="21">
        <v>46177</v>
      </c>
      <c r="B73" s="1">
        <v>2026</v>
      </c>
      <c r="C73" s="8" t="s">
        <v>21</v>
      </c>
      <c r="D73" s="8" t="s">
        <v>134</v>
      </c>
      <c r="E73" s="1"/>
      <c r="F73" s="1" t="s">
        <v>19</v>
      </c>
      <c r="G73" s="11" t="s">
        <v>135</v>
      </c>
      <c r="H73" s="8">
        <v>9578099893</v>
      </c>
      <c r="I73" s="10" t="s">
        <v>25</v>
      </c>
      <c r="J73" s="18" t="s">
        <v>136</v>
      </c>
      <c r="K73" s="8" t="s">
        <v>22</v>
      </c>
      <c r="L73" s="8" t="s">
        <v>23</v>
      </c>
      <c r="M73" s="2" t="s">
        <v>146</v>
      </c>
      <c r="N73" s="1" t="s">
        <v>138</v>
      </c>
      <c r="O73" s="11">
        <v>590</v>
      </c>
      <c r="P73" s="2" t="s">
        <v>223</v>
      </c>
      <c r="Q73" s="12" t="str">
        <f t="shared" si="10"/>
        <v>24</v>
      </c>
      <c r="R73" s="12" t="str">
        <f t="shared" si="11"/>
        <v>10</v>
      </c>
      <c r="S73" s="6" t="s">
        <v>140</v>
      </c>
      <c r="T73" s="1" t="s">
        <v>141</v>
      </c>
      <c r="U73" s="1" t="s">
        <v>148</v>
      </c>
      <c r="V73" s="1" t="s">
        <v>143</v>
      </c>
      <c r="W73" s="1" t="s">
        <v>133</v>
      </c>
      <c r="X73" s="5">
        <v>46205</v>
      </c>
      <c r="Y73" s="1">
        <f t="shared" si="12"/>
        <v>28</v>
      </c>
      <c r="Z73" s="5">
        <v>46205</v>
      </c>
      <c r="AA73" s="3"/>
      <c r="AB73" s="3"/>
      <c r="AD73" s="133" t="str">
        <f t="shared" si="13"/>
        <v>Closed In July</v>
      </c>
    </row>
    <row r="74" spans="1:30" hidden="1">
      <c r="A74" s="21">
        <v>46177</v>
      </c>
      <c r="B74" s="1">
        <v>2026</v>
      </c>
      <c r="C74" s="8" t="s">
        <v>21</v>
      </c>
      <c r="D74" s="8" t="s">
        <v>134</v>
      </c>
      <c r="E74" s="1"/>
      <c r="F74" s="1" t="s">
        <v>19</v>
      </c>
      <c r="G74" s="11" t="s">
        <v>135</v>
      </c>
      <c r="H74" s="8">
        <v>9578099893</v>
      </c>
      <c r="I74" s="10" t="s">
        <v>25</v>
      </c>
      <c r="J74" s="18" t="s">
        <v>136</v>
      </c>
      <c r="K74" s="8" t="s">
        <v>22</v>
      </c>
      <c r="L74" s="8" t="s">
        <v>23</v>
      </c>
      <c r="M74" s="2" t="s">
        <v>137</v>
      </c>
      <c r="N74" s="1" t="s">
        <v>138</v>
      </c>
      <c r="O74" s="11">
        <v>590</v>
      </c>
      <c r="P74" s="2" t="s">
        <v>224</v>
      </c>
      <c r="Q74" s="12" t="str">
        <f t="shared" si="10"/>
        <v>24</v>
      </c>
      <c r="R74" s="12" t="str">
        <f t="shared" si="11"/>
        <v>11</v>
      </c>
      <c r="S74" s="6" t="s">
        <v>140</v>
      </c>
      <c r="T74" s="1" t="s">
        <v>141</v>
      </c>
      <c r="U74" s="6" t="s">
        <v>142</v>
      </c>
      <c r="V74" s="6" t="s">
        <v>143</v>
      </c>
      <c r="W74" s="1" t="s">
        <v>133</v>
      </c>
      <c r="X74" s="5">
        <v>46205</v>
      </c>
      <c r="Y74" s="1">
        <f t="shared" si="12"/>
        <v>28</v>
      </c>
      <c r="Z74" s="5">
        <v>46205</v>
      </c>
      <c r="AA74" s="3"/>
      <c r="AB74" s="3"/>
      <c r="AD74" s="133" t="str">
        <f t="shared" si="13"/>
        <v>Closed In July</v>
      </c>
    </row>
    <row r="75" spans="1:30" hidden="1">
      <c r="A75" s="21">
        <v>46177</v>
      </c>
      <c r="B75" s="1">
        <v>2026</v>
      </c>
      <c r="C75" s="8" t="s">
        <v>21</v>
      </c>
      <c r="D75" s="8" t="s">
        <v>134</v>
      </c>
      <c r="E75" s="1"/>
      <c r="F75" s="1" t="s">
        <v>19</v>
      </c>
      <c r="G75" s="11" t="s">
        <v>135</v>
      </c>
      <c r="H75" s="8">
        <v>9578099893</v>
      </c>
      <c r="I75" s="10" t="s">
        <v>25</v>
      </c>
      <c r="J75" s="18" t="s">
        <v>136</v>
      </c>
      <c r="K75" s="8" t="s">
        <v>22</v>
      </c>
      <c r="L75" s="8" t="s">
        <v>23</v>
      </c>
      <c r="M75" s="2" t="s">
        <v>146</v>
      </c>
      <c r="N75" s="1" t="s">
        <v>138</v>
      </c>
      <c r="O75" s="11">
        <v>590</v>
      </c>
      <c r="P75" s="2" t="s">
        <v>225</v>
      </c>
      <c r="Q75" s="12" t="str">
        <f t="shared" si="10"/>
        <v>24</v>
      </c>
      <c r="R75" s="12" t="str">
        <f t="shared" si="11"/>
        <v>10</v>
      </c>
      <c r="S75" s="6" t="s">
        <v>140</v>
      </c>
      <c r="T75" s="1" t="s">
        <v>141</v>
      </c>
      <c r="U75" s="1" t="s">
        <v>148</v>
      </c>
      <c r="V75" s="1" t="s">
        <v>143</v>
      </c>
      <c r="W75" s="1" t="s">
        <v>133</v>
      </c>
      <c r="X75" s="5">
        <v>46205</v>
      </c>
      <c r="Y75" s="1">
        <f t="shared" si="12"/>
        <v>28</v>
      </c>
      <c r="Z75" s="5">
        <v>46205</v>
      </c>
      <c r="AA75" s="3"/>
      <c r="AB75" s="3"/>
      <c r="AD75" s="133" t="str">
        <f t="shared" si="13"/>
        <v>Closed In July</v>
      </c>
    </row>
    <row r="76" spans="1:30" hidden="1">
      <c r="A76" s="21">
        <v>46177</v>
      </c>
      <c r="B76" s="1">
        <v>2026</v>
      </c>
      <c r="C76" s="8" t="s">
        <v>21</v>
      </c>
      <c r="D76" s="8" t="s">
        <v>134</v>
      </c>
      <c r="E76" s="1"/>
      <c r="F76" s="1" t="s">
        <v>19</v>
      </c>
      <c r="G76" s="11" t="s">
        <v>135</v>
      </c>
      <c r="H76" s="8">
        <v>9578099893</v>
      </c>
      <c r="I76" s="10" t="s">
        <v>25</v>
      </c>
      <c r="J76" s="18" t="s">
        <v>136</v>
      </c>
      <c r="K76" s="8" t="s">
        <v>22</v>
      </c>
      <c r="L76" s="8" t="s">
        <v>23</v>
      </c>
      <c r="M76" s="2" t="s">
        <v>146</v>
      </c>
      <c r="N76" s="1" t="s">
        <v>138</v>
      </c>
      <c r="O76" s="11">
        <v>590</v>
      </c>
      <c r="P76" s="2" t="s">
        <v>226</v>
      </c>
      <c r="Q76" s="12" t="str">
        <f t="shared" si="10"/>
        <v>24</v>
      </c>
      <c r="R76" s="12" t="str">
        <f t="shared" si="11"/>
        <v>10</v>
      </c>
      <c r="S76" s="6" t="s">
        <v>140</v>
      </c>
      <c r="T76" s="1" t="s">
        <v>141</v>
      </c>
      <c r="U76" s="1" t="s">
        <v>148</v>
      </c>
      <c r="V76" s="1" t="s">
        <v>143</v>
      </c>
      <c r="W76" s="1" t="s">
        <v>133</v>
      </c>
      <c r="X76" s="5">
        <v>46205</v>
      </c>
      <c r="Y76" s="1">
        <f t="shared" si="12"/>
        <v>28</v>
      </c>
      <c r="Z76" s="5">
        <v>46205</v>
      </c>
      <c r="AA76" s="3"/>
      <c r="AB76" s="3"/>
      <c r="AD76" s="133" t="str">
        <f t="shared" si="13"/>
        <v>Closed In July</v>
      </c>
    </row>
    <row r="77" spans="1:30" hidden="1">
      <c r="A77" s="21">
        <v>46177</v>
      </c>
      <c r="B77" s="1">
        <v>2026</v>
      </c>
      <c r="C77" s="8" t="s">
        <v>21</v>
      </c>
      <c r="D77" s="8" t="s">
        <v>134</v>
      </c>
      <c r="E77" s="1"/>
      <c r="F77" s="1" t="s">
        <v>19</v>
      </c>
      <c r="G77" s="11" t="s">
        <v>135</v>
      </c>
      <c r="H77" s="8">
        <v>9578099893</v>
      </c>
      <c r="I77" s="10" t="s">
        <v>25</v>
      </c>
      <c r="J77" s="18" t="s">
        <v>136</v>
      </c>
      <c r="K77" s="8" t="s">
        <v>22</v>
      </c>
      <c r="L77" s="8" t="s">
        <v>23</v>
      </c>
      <c r="M77" s="2" t="s">
        <v>146</v>
      </c>
      <c r="N77" s="1" t="s">
        <v>138</v>
      </c>
      <c r="O77" s="11">
        <v>590</v>
      </c>
      <c r="P77" s="2" t="s">
        <v>227</v>
      </c>
      <c r="Q77" s="12" t="str">
        <f t="shared" si="10"/>
        <v>24</v>
      </c>
      <c r="R77" s="12" t="str">
        <f t="shared" si="11"/>
        <v>11</v>
      </c>
      <c r="S77" s="6" t="s">
        <v>140</v>
      </c>
      <c r="T77" s="1" t="s">
        <v>141</v>
      </c>
      <c r="U77" s="1" t="s">
        <v>148</v>
      </c>
      <c r="V77" s="1" t="s">
        <v>143</v>
      </c>
      <c r="W77" s="1" t="s">
        <v>133</v>
      </c>
      <c r="X77" s="5">
        <v>46205</v>
      </c>
      <c r="Y77" s="1">
        <f t="shared" si="12"/>
        <v>28</v>
      </c>
      <c r="Z77" s="5">
        <v>46205</v>
      </c>
      <c r="AA77" s="3"/>
      <c r="AB77" s="3"/>
      <c r="AD77" s="133" t="str">
        <f t="shared" si="13"/>
        <v>Closed In July</v>
      </c>
    </row>
    <row r="78" spans="1:30" hidden="1">
      <c r="A78" s="21">
        <v>46177</v>
      </c>
      <c r="B78" s="1">
        <v>2026</v>
      </c>
      <c r="C78" s="8" t="s">
        <v>21</v>
      </c>
      <c r="D78" s="8" t="s">
        <v>134</v>
      </c>
      <c r="E78" s="1"/>
      <c r="F78" s="1" t="s">
        <v>19</v>
      </c>
      <c r="G78" s="11" t="s">
        <v>135</v>
      </c>
      <c r="H78" s="8">
        <v>9578099893</v>
      </c>
      <c r="I78" s="10" t="s">
        <v>25</v>
      </c>
      <c r="J78" s="18" t="s">
        <v>136</v>
      </c>
      <c r="K78" s="8" t="s">
        <v>22</v>
      </c>
      <c r="L78" s="8" t="s">
        <v>23</v>
      </c>
      <c r="M78" s="2" t="s">
        <v>146</v>
      </c>
      <c r="N78" s="1" t="s">
        <v>138</v>
      </c>
      <c r="O78" s="11">
        <v>590</v>
      </c>
      <c r="P78" s="2" t="s">
        <v>228</v>
      </c>
      <c r="Q78" s="12" t="str">
        <f t="shared" si="10"/>
        <v>24</v>
      </c>
      <c r="R78" s="12" t="str">
        <f t="shared" si="11"/>
        <v>10</v>
      </c>
      <c r="S78" s="6" t="s">
        <v>140</v>
      </c>
      <c r="T78" s="1" t="s">
        <v>141</v>
      </c>
      <c r="U78" s="1" t="s">
        <v>148</v>
      </c>
      <c r="V78" s="1" t="s">
        <v>143</v>
      </c>
      <c r="W78" s="1" t="s">
        <v>133</v>
      </c>
      <c r="X78" s="5">
        <v>46205</v>
      </c>
      <c r="Y78" s="1">
        <f t="shared" si="12"/>
        <v>28</v>
      </c>
      <c r="Z78" s="5">
        <v>46205</v>
      </c>
      <c r="AA78" s="3"/>
      <c r="AB78" s="3"/>
      <c r="AD78" s="133" t="str">
        <f t="shared" si="13"/>
        <v>Closed In July</v>
      </c>
    </row>
    <row r="79" spans="1:30" hidden="1">
      <c r="A79" s="21">
        <v>46177</v>
      </c>
      <c r="B79" s="1">
        <v>2026</v>
      </c>
      <c r="C79" s="8" t="s">
        <v>21</v>
      </c>
      <c r="D79" s="8" t="s">
        <v>134</v>
      </c>
      <c r="E79" s="1"/>
      <c r="F79" s="1" t="s">
        <v>19</v>
      </c>
      <c r="G79" s="11" t="s">
        <v>135</v>
      </c>
      <c r="H79" s="8">
        <v>9578099893</v>
      </c>
      <c r="I79" s="10" t="s">
        <v>25</v>
      </c>
      <c r="J79" s="18" t="s">
        <v>136</v>
      </c>
      <c r="K79" s="8" t="s">
        <v>22</v>
      </c>
      <c r="L79" s="8" t="s">
        <v>23</v>
      </c>
      <c r="M79" s="2" t="s">
        <v>146</v>
      </c>
      <c r="N79" s="1" t="s">
        <v>138</v>
      </c>
      <c r="O79" s="11">
        <v>590</v>
      </c>
      <c r="P79" s="2" t="s">
        <v>229</v>
      </c>
      <c r="Q79" s="12" t="str">
        <f t="shared" si="10"/>
        <v>24</v>
      </c>
      <c r="R79" s="12" t="str">
        <f t="shared" si="11"/>
        <v>10</v>
      </c>
      <c r="S79" s="6" t="s">
        <v>140</v>
      </c>
      <c r="T79" s="1" t="s">
        <v>141</v>
      </c>
      <c r="U79" s="1" t="s">
        <v>148</v>
      </c>
      <c r="V79" s="1" t="s">
        <v>143</v>
      </c>
      <c r="W79" s="1" t="s">
        <v>133</v>
      </c>
      <c r="X79" s="5">
        <v>46205</v>
      </c>
      <c r="Y79" s="1">
        <f t="shared" si="12"/>
        <v>28</v>
      </c>
      <c r="Z79" s="5">
        <v>46205</v>
      </c>
      <c r="AA79" s="3"/>
      <c r="AB79" s="3"/>
      <c r="AD79" s="133" t="str">
        <f t="shared" si="13"/>
        <v>Closed In July</v>
      </c>
    </row>
    <row r="80" spans="1:30" hidden="1">
      <c r="A80" s="21">
        <v>46177</v>
      </c>
      <c r="B80" s="1">
        <v>2026</v>
      </c>
      <c r="C80" s="8" t="s">
        <v>21</v>
      </c>
      <c r="D80" s="8" t="s">
        <v>134</v>
      </c>
      <c r="E80" s="1"/>
      <c r="F80" s="1" t="s">
        <v>19</v>
      </c>
      <c r="G80" s="11" t="s">
        <v>135</v>
      </c>
      <c r="H80" s="8">
        <v>9578099893</v>
      </c>
      <c r="I80" s="10" t="s">
        <v>25</v>
      </c>
      <c r="J80" s="18" t="s">
        <v>136</v>
      </c>
      <c r="K80" s="8" t="s">
        <v>22</v>
      </c>
      <c r="L80" s="8" t="s">
        <v>23</v>
      </c>
      <c r="M80" s="2" t="s">
        <v>137</v>
      </c>
      <c r="N80" s="1" t="s">
        <v>138</v>
      </c>
      <c r="O80" s="11">
        <v>590</v>
      </c>
      <c r="P80" s="2" t="s">
        <v>230</v>
      </c>
      <c r="Q80" s="12" t="str">
        <f t="shared" si="10"/>
        <v>24</v>
      </c>
      <c r="R80" s="12" t="str">
        <f t="shared" si="11"/>
        <v>11</v>
      </c>
      <c r="S80" s="6" t="s">
        <v>140</v>
      </c>
      <c r="T80" s="1" t="s">
        <v>141</v>
      </c>
      <c r="U80" s="6" t="s">
        <v>142</v>
      </c>
      <c r="V80" s="6" t="s">
        <v>143</v>
      </c>
      <c r="W80" s="1" t="s">
        <v>133</v>
      </c>
      <c r="X80" s="5">
        <v>46205</v>
      </c>
      <c r="Y80" s="1">
        <f t="shared" si="12"/>
        <v>28</v>
      </c>
      <c r="Z80" s="5">
        <v>46205</v>
      </c>
      <c r="AA80" s="3"/>
      <c r="AB80" s="3"/>
      <c r="AD80" s="133" t="str">
        <f t="shared" si="13"/>
        <v>Closed In July</v>
      </c>
    </row>
    <row r="81" spans="1:30" hidden="1">
      <c r="A81" s="21">
        <v>46177</v>
      </c>
      <c r="B81" s="1">
        <v>2026</v>
      </c>
      <c r="C81" s="8" t="s">
        <v>21</v>
      </c>
      <c r="D81" s="8" t="s">
        <v>134</v>
      </c>
      <c r="E81" s="1"/>
      <c r="F81" s="1" t="s">
        <v>19</v>
      </c>
      <c r="G81" s="11" t="s">
        <v>135</v>
      </c>
      <c r="H81" s="8">
        <v>9578099893</v>
      </c>
      <c r="I81" s="10" t="s">
        <v>25</v>
      </c>
      <c r="J81" s="18" t="s">
        <v>136</v>
      </c>
      <c r="K81" s="8" t="s">
        <v>22</v>
      </c>
      <c r="L81" s="8" t="s">
        <v>23</v>
      </c>
      <c r="M81" s="2" t="s">
        <v>146</v>
      </c>
      <c r="N81" s="1" t="s">
        <v>138</v>
      </c>
      <c r="O81" s="11">
        <v>590</v>
      </c>
      <c r="P81" s="2" t="s">
        <v>231</v>
      </c>
      <c r="Q81" s="12" t="str">
        <f t="shared" si="10"/>
        <v>24</v>
      </c>
      <c r="R81" s="12" t="str">
        <f t="shared" si="11"/>
        <v>10</v>
      </c>
      <c r="S81" s="6" t="s">
        <v>140</v>
      </c>
      <c r="T81" s="1" t="s">
        <v>141</v>
      </c>
      <c r="U81" s="1" t="s">
        <v>148</v>
      </c>
      <c r="V81" s="1" t="s">
        <v>143</v>
      </c>
      <c r="W81" s="1" t="s">
        <v>133</v>
      </c>
      <c r="X81" s="5">
        <v>46205</v>
      </c>
      <c r="Y81" s="1">
        <f t="shared" si="12"/>
        <v>28</v>
      </c>
      <c r="Z81" s="5">
        <v>46205</v>
      </c>
      <c r="AA81" s="3"/>
      <c r="AB81" s="3"/>
      <c r="AD81" s="133" t="str">
        <f t="shared" si="13"/>
        <v>Closed In July</v>
      </c>
    </row>
    <row r="82" spans="1:30" hidden="1">
      <c r="A82" s="21">
        <v>46177</v>
      </c>
      <c r="B82" s="1">
        <v>2026</v>
      </c>
      <c r="C82" s="8" t="s">
        <v>21</v>
      </c>
      <c r="D82" s="8" t="s">
        <v>134</v>
      </c>
      <c r="E82" s="1"/>
      <c r="F82" s="1" t="s">
        <v>19</v>
      </c>
      <c r="G82" s="11" t="s">
        <v>135</v>
      </c>
      <c r="H82" s="8">
        <v>9578099893</v>
      </c>
      <c r="I82" s="10" t="s">
        <v>25</v>
      </c>
      <c r="J82" s="18" t="s">
        <v>136</v>
      </c>
      <c r="K82" s="8" t="s">
        <v>22</v>
      </c>
      <c r="L82" s="8" t="s">
        <v>23</v>
      </c>
      <c r="M82" s="2" t="s">
        <v>146</v>
      </c>
      <c r="N82" s="1" t="s">
        <v>138</v>
      </c>
      <c r="O82" s="11">
        <v>590</v>
      </c>
      <c r="P82" s="2" t="s">
        <v>232</v>
      </c>
      <c r="Q82" s="12" t="str">
        <f t="shared" si="10"/>
        <v>24</v>
      </c>
      <c r="R82" s="12" t="str">
        <f t="shared" si="11"/>
        <v>11</v>
      </c>
      <c r="S82" s="6" t="s">
        <v>140</v>
      </c>
      <c r="T82" s="1" t="s">
        <v>141</v>
      </c>
      <c r="U82" s="1" t="s">
        <v>148</v>
      </c>
      <c r="V82" s="1" t="s">
        <v>143</v>
      </c>
      <c r="W82" s="1" t="s">
        <v>133</v>
      </c>
      <c r="X82" s="5">
        <v>46205</v>
      </c>
      <c r="Y82" s="1">
        <f t="shared" si="12"/>
        <v>28</v>
      </c>
      <c r="Z82" s="5">
        <v>46205</v>
      </c>
      <c r="AA82" s="3"/>
      <c r="AB82" s="3"/>
      <c r="AD82" s="133" t="str">
        <f t="shared" si="13"/>
        <v>Closed In July</v>
      </c>
    </row>
    <row r="83" spans="1:30" hidden="1">
      <c r="A83" s="21">
        <v>46177</v>
      </c>
      <c r="B83" s="1">
        <v>2026</v>
      </c>
      <c r="C83" s="8" t="s">
        <v>21</v>
      </c>
      <c r="D83" s="8" t="s">
        <v>134</v>
      </c>
      <c r="E83" s="1"/>
      <c r="F83" s="1" t="s">
        <v>19</v>
      </c>
      <c r="G83" s="11" t="s">
        <v>135</v>
      </c>
      <c r="H83" s="8">
        <v>9578099893</v>
      </c>
      <c r="I83" s="10" t="s">
        <v>25</v>
      </c>
      <c r="J83" s="18" t="s">
        <v>136</v>
      </c>
      <c r="K83" s="8" t="s">
        <v>22</v>
      </c>
      <c r="L83" s="8" t="s">
        <v>23</v>
      </c>
      <c r="M83" s="2" t="s">
        <v>152</v>
      </c>
      <c r="N83" s="1" t="s">
        <v>138</v>
      </c>
      <c r="O83" s="11">
        <v>590</v>
      </c>
      <c r="P83" s="2" t="s">
        <v>233</v>
      </c>
      <c r="Q83" s="12" t="str">
        <f t="shared" si="10"/>
        <v>24</v>
      </c>
      <c r="R83" s="12" t="str">
        <f t="shared" si="11"/>
        <v>11</v>
      </c>
      <c r="S83" s="6" t="s">
        <v>140</v>
      </c>
      <c r="T83" s="1" t="s">
        <v>141</v>
      </c>
      <c r="U83" s="1" t="s">
        <v>154</v>
      </c>
      <c r="V83" s="1" t="s">
        <v>143</v>
      </c>
      <c r="W83" s="1" t="s">
        <v>133</v>
      </c>
      <c r="X83" s="5">
        <v>46205</v>
      </c>
      <c r="Y83" s="1">
        <f t="shared" si="12"/>
        <v>28</v>
      </c>
      <c r="Z83" s="5">
        <v>46205</v>
      </c>
      <c r="AA83" s="3"/>
      <c r="AB83" s="3"/>
      <c r="AD83" s="133" t="str">
        <f t="shared" si="13"/>
        <v>Closed In July</v>
      </c>
    </row>
    <row r="84" spans="1:30" hidden="1">
      <c r="A84" s="21">
        <v>46177</v>
      </c>
      <c r="B84" s="1">
        <v>2026</v>
      </c>
      <c r="C84" s="8" t="s">
        <v>21</v>
      </c>
      <c r="D84" s="8" t="s">
        <v>134</v>
      </c>
      <c r="E84" s="1"/>
      <c r="F84" s="1" t="s">
        <v>19</v>
      </c>
      <c r="G84" s="11" t="s">
        <v>135</v>
      </c>
      <c r="H84" s="8">
        <v>9578099893</v>
      </c>
      <c r="I84" s="10" t="s">
        <v>25</v>
      </c>
      <c r="J84" s="18" t="s">
        <v>136</v>
      </c>
      <c r="K84" s="8" t="s">
        <v>22</v>
      </c>
      <c r="L84" s="8" t="s">
        <v>23</v>
      </c>
      <c r="M84" s="2" t="s">
        <v>152</v>
      </c>
      <c r="N84" s="1" t="s">
        <v>138</v>
      </c>
      <c r="O84" s="11">
        <v>590</v>
      </c>
      <c r="P84" s="2" t="s">
        <v>234</v>
      </c>
      <c r="Q84" s="12" t="str">
        <f t="shared" si="10"/>
        <v>24</v>
      </c>
      <c r="R84" s="12" t="str">
        <f t="shared" si="11"/>
        <v>11</v>
      </c>
      <c r="S84" s="6" t="s">
        <v>140</v>
      </c>
      <c r="T84" s="1" t="s">
        <v>141</v>
      </c>
      <c r="U84" s="1" t="s">
        <v>154</v>
      </c>
      <c r="V84" s="1" t="s">
        <v>143</v>
      </c>
      <c r="W84" s="1" t="s">
        <v>133</v>
      </c>
      <c r="X84" s="5">
        <v>46205</v>
      </c>
      <c r="Y84" s="1">
        <f t="shared" si="12"/>
        <v>28</v>
      </c>
      <c r="Z84" s="5">
        <v>46205</v>
      </c>
      <c r="AA84" s="3"/>
      <c r="AB84" s="3"/>
      <c r="AD84" s="133" t="str">
        <f t="shared" si="13"/>
        <v>Closed In July</v>
      </c>
    </row>
    <row r="85" spans="1:30" hidden="1">
      <c r="A85" s="21">
        <v>46177</v>
      </c>
      <c r="B85" s="1">
        <v>2026</v>
      </c>
      <c r="C85" s="8" t="s">
        <v>21</v>
      </c>
      <c r="D85" s="8" t="s">
        <v>134</v>
      </c>
      <c r="E85" s="1"/>
      <c r="F85" s="1" t="s">
        <v>19</v>
      </c>
      <c r="G85" s="11" t="s">
        <v>135</v>
      </c>
      <c r="H85" s="8">
        <v>9578099893</v>
      </c>
      <c r="I85" s="10" t="s">
        <v>25</v>
      </c>
      <c r="J85" s="18" t="s">
        <v>136</v>
      </c>
      <c r="K85" s="8" t="s">
        <v>22</v>
      </c>
      <c r="L85" s="8" t="s">
        <v>23</v>
      </c>
      <c r="M85" s="2" t="s">
        <v>137</v>
      </c>
      <c r="N85" s="1" t="s">
        <v>138</v>
      </c>
      <c r="O85" s="11">
        <v>590</v>
      </c>
      <c r="P85" s="2" t="s">
        <v>235</v>
      </c>
      <c r="Q85" s="12" t="str">
        <f t="shared" si="10"/>
        <v>24</v>
      </c>
      <c r="R85" s="12" t="str">
        <f t="shared" si="11"/>
        <v>11</v>
      </c>
      <c r="S85" s="6" t="s">
        <v>140</v>
      </c>
      <c r="T85" s="1" t="s">
        <v>141</v>
      </c>
      <c r="U85" s="6" t="s">
        <v>142</v>
      </c>
      <c r="V85" s="6" t="s">
        <v>143</v>
      </c>
      <c r="W85" s="1" t="s">
        <v>133</v>
      </c>
      <c r="X85" s="5">
        <v>46205</v>
      </c>
      <c r="Y85" s="1">
        <f t="shared" si="12"/>
        <v>28</v>
      </c>
      <c r="Z85" s="5">
        <v>46205</v>
      </c>
      <c r="AA85" s="3"/>
      <c r="AB85" s="3"/>
      <c r="AD85" s="133" t="str">
        <f t="shared" si="13"/>
        <v>Closed In July</v>
      </c>
    </row>
    <row r="86" spans="1:30" hidden="1">
      <c r="A86" s="21">
        <v>46177</v>
      </c>
      <c r="B86" s="1">
        <v>2026</v>
      </c>
      <c r="C86" s="8" t="s">
        <v>21</v>
      </c>
      <c r="D86" s="8" t="s">
        <v>134</v>
      </c>
      <c r="E86" s="1"/>
      <c r="F86" s="1" t="s">
        <v>19</v>
      </c>
      <c r="G86" s="11" t="s">
        <v>135</v>
      </c>
      <c r="H86" s="8">
        <v>9578099893</v>
      </c>
      <c r="I86" s="10" t="s">
        <v>25</v>
      </c>
      <c r="J86" s="18" t="s">
        <v>136</v>
      </c>
      <c r="K86" s="8" t="s">
        <v>22</v>
      </c>
      <c r="L86" s="8" t="s">
        <v>23</v>
      </c>
      <c r="M86" s="2" t="s">
        <v>146</v>
      </c>
      <c r="N86" s="1" t="s">
        <v>138</v>
      </c>
      <c r="O86" s="11">
        <v>590</v>
      </c>
      <c r="P86" s="2" t="s">
        <v>236</v>
      </c>
      <c r="Q86" s="12" t="str">
        <f t="shared" si="10"/>
        <v>24</v>
      </c>
      <c r="R86" s="12" t="str">
        <f t="shared" si="11"/>
        <v>10</v>
      </c>
      <c r="S86" s="6" t="s">
        <v>140</v>
      </c>
      <c r="T86" s="1" t="s">
        <v>141</v>
      </c>
      <c r="U86" s="1" t="s">
        <v>148</v>
      </c>
      <c r="V86" s="1" t="s">
        <v>143</v>
      </c>
      <c r="W86" s="1" t="s">
        <v>133</v>
      </c>
      <c r="X86" s="5">
        <v>46205</v>
      </c>
      <c r="Y86" s="1">
        <f t="shared" si="12"/>
        <v>28</v>
      </c>
      <c r="Z86" s="5">
        <v>46205</v>
      </c>
      <c r="AA86" s="3"/>
      <c r="AB86" s="3"/>
      <c r="AD86" s="133" t="str">
        <f t="shared" si="13"/>
        <v>Closed In July</v>
      </c>
    </row>
    <row r="87" spans="1:30" hidden="1">
      <c r="A87" s="21">
        <v>46177</v>
      </c>
      <c r="B87" s="1">
        <v>2026</v>
      </c>
      <c r="C87" s="8" t="s">
        <v>21</v>
      </c>
      <c r="D87" s="8" t="s">
        <v>134</v>
      </c>
      <c r="E87" s="1"/>
      <c r="F87" s="1" t="s">
        <v>19</v>
      </c>
      <c r="G87" s="11" t="s">
        <v>135</v>
      </c>
      <c r="H87" s="8">
        <v>9578099893</v>
      </c>
      <c r="I87" s="10" t="s">
        <v>25</v>
      </c>
      <c r="J87" s="18" t="s">
        <v>136</v>
      </c>
      <c r="K87" s="8" t="s">
        <v>22</v>
      </c>
      <c r="L87" s="8" t="s">
        <v>23</v>
      </c>
      <c r="M87" s="2" t="s">
        <v>146</v>
      </c>
      <c r="N87" s="1" t="s">
        <v>138</v>
      </c>
      <c r="O87" s="11">
        <v>590</v>
      </c>
      <c r="P87" s="2" t="s">
        <v>237</v>
      </c>
      <c r="Q87" s="12" t="str">
        <f t="shared" si="10"/>
        <v>24</v>
      </c>
      <c r="R87" s="12" t="str">
        <f t="shared" si="11"/>
        <v>10</v>
      </c>
      <c r="S87" s="6" t="s">
        <v>140</v>
      </c>
      <c r="T87" s="1" t="s">
        <v>141</v>
      </c>
      <c r="U87" s="1" t="s">
        <v>148</v>
      </c>
      <c r="V87" s="1" t="s">
        <v>143</v>
      </c>
      <c r="W87" s="1" t="s">
        <v>133</v>
      </c>
      <c r="X87" s="5">
        <v>46205</v>
      </c>
      <c r="Y87" s="1">
        <f t="shared" si="12"/>
        <v>28</v>
      </c>
      <c r="Z87" s="5">
        <v>46205</v>
      </c>
      <c r="AA87" s="3"/>
      <c r="AB87" s="3"/>
      <c r="AD87" s="133" t="str">
        <f t="shared" si="13"/>
        <v>Closed In July</v>
      </c>
    </row>
    <row r="88" spans="1:30" hidden="1">
      <c r="A88" s="9">
        <v>46134</v>
      </c>
      <c r="B88" s="1">
        <v>2026</v>
      </c>
      <c r="C88" s="8" t="s">
        <v>26</v>
      </c>
      <c r="D88" s="11" t="s">
        <v>179</v>
      </c>
      <c r="E88" s="1"/>
      <c r="F88" s="1" t="s">
        <v>19</v>
      </c>
      <c r="G88" s="8" t="s">
        <v>180</v>
      </c>
      <c r="H88" s="8">
        <v>8248438488</v>
      </c>
      <c r="I88" s="10" t="s">
        <v>30</v>
      </c>
      <c r="J88" s="8" t="s">
        <v>181</v>
      </c>
      <c r="K88" s="8" t="s">
        <v>27</v>
      </c>
      <c r="L88" s="8" t="s">
        <v>28</v>
      </c>
      <c r="M88" s="22" t="s">
        <v>152</v>
      </c>
      <c r="N88" s="6" t="s">
        <v>138</v>
      </c>
      <c r="O88" s="11">
        <v>550</v>
      </c>
      <c r="P88" s="22" t="s">
        <v>238</v>
      </c>
      <c r="Q88" s="12" t="str">
        <f t="shared" si="10"/>
        <v>23</v>
      </c>
      <c r="R88" s="12" t="str">
        <f t="shared" si="11"/>
        <v>05</v>
      </c>
      <c r="S88" s="6" t="s">
        <v>129</v>
      </c>
      <c r="T88" s="1" t="s">
        <v>130</v>
      </c>
      <c r="U88" s="6" t="s">
        <v>154</v>
      </c>
      <c r="V88" s="1" t="s">
        <v>143</v>
      </c>
      <c r="W88" s="1" t="s">
        <v>133</v>
      </c>
      <c r="X88" s="5">
        <v>46206</v>
      </c>
      <c r="Y88" s="1">
        <f t="shared" si="12"/>
        <v>72</v>
      </c>
      <c r="Z88" s="5">
        <v>46206</v>
      </c>
      <c r="AA88" s="3"/>
      <c r="AB88" s="3"/>
      <c r="AD88" s="133" t="str">
        <f t="shared" si="13"/>
        <v>Closed In July</v>
      </c>
    </row>
    <row r="89" spans="1:30" hidden="1">
      <c r="A89" s="9">
        <v>46134</v>
      </c>
      <c r="B89" s="1">
        <v>2026</v>
      </c>
      <c r="C89" s="8" t="s">
        <v>26</v>
      </c>
      <c r="D89" s="11" t="s">
        <v>179</v>
      </c>
      <c r="E89" s="1"/>
      <c r="F89" s="1" t="s">
        <v>19</v>
      </c>
      <c r="G89" s="8" t="s">
        <v>180</v>
      </c>
      <c r="H89" s="8">
        <v>8248438488</v>
      </c>
      <c r="I89" s="10" t="s">
        <v>30</v>
      </c>
      <c r="J89" s="8" t="s">
        <v>181</v>
      </c>
      <c r="K89" s="8" t="s">
        <v>27</v>
      </c>
      <c r="L89" s="8" t="s">
        <v>28</v>
      </c>
      <c r="M89" s="2" t="s">
        <v>146</v>
      </c>
      <c r="N89" s="6" t="s">
        <v>138</v>
      </c>
      <c r="O89" s="11">
        <v>550</v>
      </c>
      <c r="P89" s="22" t="s">
        <v>239</v>
      </c>
      <c r="Q89" s="12" t="str">
        <f t="shared" ref="Q89:Q106" si="14">MID(P89,5,2)</f>
        <v>23</v>
      </c>
      <c r="R89" s="12" t="str">
        <f t="shared" ref="R89:R106" si="15">MID(P89,7,2)</f>
        <v>05</v>
      </c>
      <c r="S89" s="6" t="s">
        <v>129</v>
      </c>
      <c r="T89" s="1" t="s">
        <v>130</v>
      </c>
      <c r="U89" s="6" t="s">
        <v>148</v>
      </c>
      <c r="V89" s="1" t="s">
        <v>143</v>
      </c>
      <c r="W89" s="1" t="s">
        <v>133</v>
      </c>
      <c r="X89" s="5">
        <v>46206</v>
      </c>
      <c r="Y89" s="1">
        <f t="shared" ref="Y89:Y106" si="16">X89-A89</f>
        <v>72</v>
      </c>
      <c r="Z89" s="5">
        <v>46206</v>
      </c>
      <c r="AA89" s="3"/>
      <c r="AB89" s="3"/>
      <c r="AD89" s="133" t="str">
        <f t="shared" si="13"/>
        <v>Closed In July</v>
      </c>
    </row>
    <row r="90" spans="1:30" hidden="1">
      <c r="A90" s="9">
        <v>46134</v>
      </c>
      <c r="B90" s="1">
        <v>2026</v>
      </c>
      <c r="C90" s="8" t="s">
        <v>26</v>
      </c>
      <c r="D90" s="11" t="s">
        <v>179</v>
      </c>
      <c r="E90" s="1"/>
      <c r="F90" s="1" t="s">
        <v>19</v>
      </c>
      <c r="G90" s="8" t="s">
        <v>180</v>
      </c>
      <c r="H90" s="8">
        <v>8248438488</v>
      </c>
      <c r="I90" s="10" t="s">
        <v>30</v>
      </c>
      <c r="J90" s="8" t="s">
        <v>181</v>
      </c>
      <c r="K90" s="8" t="s">
        <v>27</v>
      </c>
      <c r="L90" s="8" t="s">
        <v>28</v>
      </c>
      <c r="M90" s="2" t="s">
        <v>146</v>
      </c>
      <c r="N90" s="6" t="s">
        <v>138</v>
      </c>
      <c r="O90" s="11">
        <v>550</v>
      </c>
      <c r="P90" s="22" t="s">
        <v>240</v>
      </c>
      <c r="Q90" s="12" t="str">
        <f t="shared" si="14"/>
        <v>23</v>
      </c>
      <c r="R90" s="12" t="str">
        <f t="shared" si="15"/>
        <v>05</v>
      </c>
      <c r="S90" s="6" t="s">
        <v>129</v>
      </c>
      <c r="T90" s="1" t="s">
        <v>130</v>
      </c>
      <c r="U90" s="6" t="s">
        <v>148</v>
      </c>
      <c r="V90" s="1" t="s">
        <v>143</v>
      </c>
      <c r="W90" s="1" t="s">
        <v>133</v>
      </c>
      <c r="X90" s="5">
        <v>46206</v>
      </c>
      <c r="Y90" s="1">
        <f t="shared" si="16"/>
        <v>72</v>
      </c>
      <c r="Z90" s="5">
        <v>46206</v>
      </c>
      <c r="AA90" s="3"/>
      <c r="AB90" s="3"/>
      <c r="AD90" s="133" t="str">
        <f t="shared" si="13"/>
        <v>Closed In July</v>
      </c>
    </row>
    <row r="91" spans="1:30" hidden="1">
      <c r="A91" s="9">
        <v>46134</v>
      </c>
      <c r="B91" s="1">
        <v>2026</v>
      </c>
      <c r="C91" s="8" t="s">
        <v>26</v>
      </c>
      <c r="D91" s="11" t="s">
        <v>179</v>
      </c>
      <c r="E91" s="1"/>
      <c r="F91" s="1" t="s">
        <v>19</v>
      </c>
      <c r="G91" s="8" t="s">
        <v>180</v>
      </c>
      <c r="H91" s="8">
        <v>8248438488</v>
      </c>
      <c r="I91" s="10" t="s">
        <v>30</v>
      </c>
      <c r="J91" s="8" t="s">
        <v>181</v>
      </c>
      <c r="K91" s="8" t="s">
        <v>27</v>
      </c>
      <c r="L91" s="8" t="s">
        <v>28</v>
      </c>
      <c r="M91" s="2" t="s">
        <v>146</v>
      </c>
      <c r="N91" s="6" t="s">
        <v>138</v>
      </c>
      <c r="O91" s="11">
        <v>550</v>
      </c>
      <c r="P91" s="22" t="s">
        <v>241</v>
      </c>
      <c r="Q91" s="12" t="str">
        <f t="shared" si="14"/>
        <v>23</v>
      </c>
      <c r="R91" s="12" t="str">
        <f t="shared" si="15"/>
        <v>05</v>
      </c>
      <c r="S91" s="6" t="s">
        <v>129</v>
      </c>
      <c r="T91" s="1" t="s">
        <v>130</v>
      </c>
      <c r="U91" s="6" t="s">
        <v>148</v>
      </c>
      <c r="V91" s="1" t="s">
        <v>143</v>
      </c>
      <c r="W91" s="1" t="s">
        <v>133</v>
      </c>
      <c r="X91" s="5">
        <v>46206</v>
      </c>
      <c r="Y91" s="1">
        <f t="shared" si="16"/>
        <v>72</v>
      </c>
      <c r="Z91" s="5">
        <v>46206</v>
      </c>
      <c r="AA91" s="3"/>
      <c r="AB91" s="3"/>
      <c r="AD91" s="133" t="str">
        <f t="shared" si="13"/>
        <v>Closed In July</v>
      </c>
    </row>
    <row r="92" spans="1:30" hidden="1">
      <c r="A92" s="9">
        <v>46134</v>
      </c>
      <c r="B92" s="1">
        <v>2026</v>
      </c>
      <c r="C92" s="8" t="s">
        <v>26</v>
      </c>
      <c r="D92" s="11" t="s">
        <v>179</v>
      </c>
      <c r="E92" s="1"/>
      <c r="F92" s="1" t="s">
        <v>19</v>
      </c>
      <c r="G92" s="8" t="s">
        <v>180</v>
      </c>
      <c r="H92" s="8">
        <v>8248438488</v>
      </c>
      <c r="I92" s="10" t="s">
        <v>30</v>
      </c>
      <c r="J92" s="8" t="s">
        <v>181</v>
      </c>
      <c r="K92" s="8" t="s">
        <v>27</v>
      </c>
      <c r="L92" s="8" t="s">
        <v>28</v>
      </c>
      <c r="M92" s="2" t="s">
        <v>146</v>
      </c>
      <c r="N92" s="6" t="s">
        <v>138</v>
      </c>
      <c r="O92" s="11">
        <v>550</v>
      </c>
      <c r="P92" s="22" t="s">
        <v>242</v>
      </c>
      <c r="Q92" s="12" t="str">
        <f t="shared" si="14"/>
        <v>23</v>
      </c>
      <c r="R92" s="12" t="str">
        <f t="shared" si="15"/>
        <v>05</v>
      </c>
      <c r="S92" s="6" t="s">
        <v>129</v>
      </c>
      <c r="T92" s="1" t="s">
        <v>130</v>
      </c>
      <c r="U92" s="6" t="s">
        <v>148</v>
      </c>
      <c r="V92" s="1" t="s">
        <v>143</v>
      </c>
      <c r="W92" s="1" t="s">
        <v>133</v>
      </c>
      <c r="X92" s="5">
        <v>46206</v>
      </c>
      <c r="Y92" s="1">
        <f t="shared" si="16"/>
        <v>72</v>
      </c>
      <c r="Z92" s="5">
        <v>46206</v>
      </c>
      <c r="AA92" s="3"/>
      <c r="AB92" s="3"/>
      <c r="AD92" s="133" t="str">
        <f t="shared" si="13"/>
        <v>Closed In July</v>
      </c>
    </row>
    <row r="93" spans="1:30" hidden="1">
      <c r="A93" s="9">
        <v>46134</v>
      </c>
      <c r="B93" s="1">
        <v>2026</v>
      </c>
      <c r="C93" s="8" t="s">
        <v>26</v>
      </c>
      <c r="D93" s="11" t="s">
        <v>179</v>
      </c>
      <c r="E93" s="1"/>
      <c r="F93" s="1" t="s">
        <v>19</v>
      </c>
      <c r="G93" s="8" t="s">
        <v>180</v>
      </c>
      <c r="H93" s="8">
        <v>8248438488</v>
      </c>
      <c r="I93" s="10" t="s">
        <v>30</v>
      </c>
      <c r="J93" s="8" t="s">
        <v>181</v>
      </c>
      <c r="K93" s="8" t="s">
        <v>27</v>
      </c>
      <c r="L93" s="8" t="s">
        <v>28</v>
      </c>
      <c r="M93" s="2" t="s">
        <v>146</v>
      </c>
      <c r="N93" s="6" t="s">
        <v>138</v>
      </c>
      <c r="O93" s="11">
        <v>550</v>
      </c>
      <c r="P93" s="22" t="s">
        <v>243</v>
      </c>
      <c r="Q93" s="12" t="str">
        <f t="shared" si="14"/>
        <v>23</v>
      </c>
      <c r="R93" s="12" t="str">
        <f t="shared" si="15"/>
        <v>05</v>
      </c>
      <c r="S93" s="6" t="s">
        <v>129</v>
      </c>
      <c r="T93" s="1" t="s">
        <v>130</v>
      </c>
      <c r="U93" s="6" t="s">
        <v>148</v>
      </c>
      <c r="V93" s="1" t="s">
        <v>143</v>
      </c>
      <c r="W93" s="1" t="s">
        <v>133</v>
      </c>
      <c r="X93" s="5">
        <v>46206</v>
      </c>
      <c r="Y93" s="1">
        <f t="shared" si="16"/>
        <v>72</v>
      </c>
      <c r="Z93" s="5">
        <v>46206</v>
      </c>
      <c r="AA93" s="3"/>
      <c r="AB93" s="3"/>
      <c r="AD93" s="133" t="str">
        <f t="shared" si="13"/>
        <v>Closed In July</v>
      </c>
    </row>
    <row r="94" spans="1:30" hidden="1">
      <c r="A94" s="9">
        <v>46134</v>
      </c>
      <c r="B94" s="1">
        <v>2026</v>
      </c>
      <c r="C94" s="8" t="s">
        <v>26</v>
      </c>
      <c r="D94" s="11" t="s">
        <v>179</v>
      </c>
      <c r="E94" s="1"/>
      <c r="F94" s="1" t="s">
        <v>19</v>
      </c>
      <c r="G94" s="8" t="s">
        <v>180</v>
      </c>
      <c r="H94" s="8">
        <v>8248438488</v>
      </c>
      <c r="I94" s="10" t="s">
        <v>30</v>
      </c>
      <c r="J94" s="8" t="s">
        <v>181</v>
      </c>
      <c r="K94" s="8" t="s">
        <v>27</v>
      </c>
      <c r="L94" s="8" t="s">
        <v>28</v>
      </c>
      <c r="M94" s="2" t="s">
        <v>146</v>
      </c>
      <c r="N94" s="6" t="s">
        <v>138</v>
      </c>
      <c r="O94" s="11">
        <v>550</v>
      </c>
      <c r="P94" s="22" t="s">
        <v>244</v>
      </c>
      <c r="Q94" s="12" t="str">
        <f t="shared" si="14"/>
        <v>23</v>
      </c>
      <c r="R94" s="12" t="str">
        <f t="shared" si="15"/>
        <v>05</v>
      </c>
      <c r="S94" s="6" t="s">
        <v>129</v>
      </c>
      <c r="T94" s="1" t="s">
        <v>130</v>
      </c>
      <c r="U94" s="6" t="s">
        <v>148</v>
      </c>
      <c r="V94" s="1" t="s">
        <v>143</v>
      </c>
      <c r="W94" s="1" t="s">
        <v>133</v>
      </c>
      <c r="X94" s="5">
        <v>46206</v>
      </c>
      <c r="Y94" s="1">
        <f t="shared" si="16"/>
        <v>72</v>
      </c>
      <c r="Z94" s="5">
        <v>46206</v>
      </c>
      <c r="AA94" s="3"/>
      <c r="AB94" s="3"/>
      <c r="AD94" s="133" t="str">
        <f t="shared" si="13"/>
        <v>Closed In July</v>
      </c>
    </row>
    <row r="95" spans="1:30" hidden="1">
      <c r="A95" s="9">
        <v>46134</v>
      </c>
      <c r="B95" s="1">
        <v>2026</v>
      </c>
      <c r="C95" s="8" t="s">
        <v>26</v>
      </c>
      <c r="D95" s="11" t="s">
        <v>179</v>
      </c>
      <c r="E95" s="1"/>
      <c r="F95" s="1" t="s">
        <v>19</v>
      </c>
      <c r="G95" s="8" t="s">
        <v>180</v>
      </c>
      <c r="H95" s="8">
        <v>8248438488</v>
      </c>
      <c r="I95" s="10" t="s">
        <v>30</v>
      </c>
      <c r="J95" s="8" t="s">
        <v>181</v>
      </c>
      <c r="K95" s="8" t="s">
        <v>27</v>
      </c>
      <c r="L95" s="8" t="s">
        <v>28</v>
      </c>
      <c r="M95" s="2" t="s">
        <v>146</v>
      </c>
      <c r="N95" s="6" t="s">
        <v>138</v>
      </c>
      <c r="O95" s="11">
        <v>550</v>
      </c>
      <c r="P95" s="22" t="s">
        <v>245</v>
      </c>
      <c r="Q95" s="12" t="str">
        <f t="shared" si="14"/>
        <v>23</v>
      </c>
      <c r="R95" s="12" t="str">
        <f t="shared" si="15"/>
        <v>05</v>
      </c>
      <c r="S95" s="6" t="s">
        <v>129</v>
      </c>
      <c r="T95" s="1" t="s">
        <v>130</v>
      </c>
      <c r="U95" s="6" t="s">
        <v>148</v>
      </c>
      <c r="V95" s="1" t="s">
        <v>143</v>
      </c>
      <c r="W95" s="1" t="s">
        <v>133</v>
      </c>
      <c r="X95" s="5">
        <v>46206</v>
      </c>
      <c r="Y95" s="1">
        <f t="shared" si="16"/>
        <v>72</v>
      </c>
      <c r="Z95" s="5">
        <v>46206</v>
      </c>
      <c r="AA95" s="3"/>
      <c r="AB95" s="3"/>
      <c r="AD95" s="133" t="str">
        <f t="shared" si="13"/>
        <v>Closed In July</v>
      </c>
    </row>
    <row r="96" spans="1:30" hidden="1">
      <c r="A96" s="9">
        <v>46134</v>
      </c>
      <c r="B96" s="1">
        <v>2026</v>
      </c>
      <c r="C96" s="8" t="s">
        <v>26</v>
      </c>
      <c r="D96" s="11" t="s">
        <v>179</v>
      </c>
      <c r="E96" s="1"/>
      <c r="F96" s="1" t="s">
        <v>19</v>
      </c>
      <c r="G96" s="8" t="s">
        <v>180</v>
      </c>
      <c r="H96" s="8">
        <v>8248438488</v>
      </c>
      <c r="I96" s="10" t="s">
        <v>30</v>
      </c>
      <c r="J96" s="8" t="s">
        <v>181</v>
      </c>
      <c r="K96" s="8" t="s">
        <v>27</v>
      </c>
      <c r="L96" s="8" t="s">
        <v>28</v>
      </c>
      <c r="M96" s="2" t="s">
        <v>146</v>
      </c>
      <c r="N96" s="6" t="s">
        <v>138</v>
      </c>
      <c r="O96" s="11">
        <v>550</v>
      </c>
      <c r="P96" s="22" t="s">
        <v>246</v>
      </c>
      <c r="Q96" s="12" t="str">
        <f t="shared" si="14"/>
        <v>23</v>
      </c>
      <c r="R96" s="12" t="str">
        <f t="shared" si="15"/>
        <v>05</v>
      </c>
      <c r="S96" s="6" t="s">
        <v>129</v>
      </c>
      <c r="T96" s="1" t="s">
        <v>130</v>
      </c>
      <c r="U96" s="6" t="s">
        <v>148</v>
      </c>
      <c r="V96" s="1" t="s">
        <v>143</v>
      </c>
      <c r="W96" s="1" t="s">
        <v>133</v>
      </c>
      <c r="X96" s="5">
        <v>46206</v>
      </c>
      <c r="Y96" s="1">
        <f t="shared" si="16"/>
        <v>72</v>
      </c>
      <c r="Z96" s="5">
        <v>46206</v>
      </c>
      <c r="AA96" s="3"/>
      <c r="AB96" s="3"/>
      <c r="AD96" s="133" t="str">
        <f t="shared" si="13"/>
        <v>Closed In July</v>
      </c>
    </row>
    <row r="97" spans="1:30" hidden="1">
      <c r="A97" s="9">
        <v>46134</v>
      </c>
      <c r="B97" s="1">
        <v>2026</v>
      </c>
      <c r="C97" s="8" t="s">
        <v>26</v>
      </c>
      <c r="D97" s="11" t="s">
        <v>179</v>
      </c>
      <c r="E97" s="1"/>
      <c r="F97" s="1" t="s">
        <v>19</v>
      </c>
      <c r="G97" s="8" t="s">
        <v>180</v>
      </c>
      <c r="H97" s="8">
        <v>8248438488</v>
      </c>
      <c r="I97" s="10" t="s">
        <v>30</v>
      </c>
      <c r="J97" s="8" t="s">
        <v>181</v>
      </c>
      <c r="K97" s="8" t="s">
        <v>27</v>
      </c>
      <c r="L97" s="8" t="s">
        <v>28</v>
      </c>
      <c r="M97" s="2" t="s">
        <v>146</v>
      </c>
      <c r="N97" s="6" t="s">
        <v>138</v>
      </c>
      <c r="O97" s="11">
        <v>550</v>
      </c>
      <c r="P97" s="22" t="s">
        <v>247</v>
      </c>
      <c r="Q97" s="12" t="str">
        <f t="shared" si="14"/>
        <v>23</v>
      </c>
      <c r="R97" s="12" t="str">
        <f t="shared" si="15"/>
        <v>05</v>
      </c>
      <c r="S97" s="6" t="s">
        <v>129</v>
      </c>
      <c r="T97" s="1" t="s">
        <v>130</v>
      </c>
      <c r="U97" s="6" t="s">
        <v>148</v>
      </c>
      <c r="V97" s="1" t="s">
        <v>143</v>
      </c>
      <c r="W97" s="1" t="s">
        <v>133</v>
      </c>
      <c r="X97" s="5">
        <v>46206</v>
      </c>
      <c r="Y97" s="1">
        <f t="shared" si="16"/>
        <v>72</v>
      </c>
      <c r="Z97" s="5">
        <v>46206</v>
      </c>
      <c r="AA97" s="3"/>
      <c r="AB97" s="3"/>
      <c r="AD97" s="133" t="str">
        <f t="shared" si="13"/>
        <v>Closed In July</v>
      </c>
    </row>
    <row r="98" spans="1:30" hidden="1">
      <c r="A98" s="9">
        <v>46134</v>
      </c>
      <c r="B98" s="1">
        <v>2026</v>
      </c>
      <c r="C98" s="8" t="s">
        <v>26</v>
      </c>
      <c r="D98" s="11" t="s">
        <v>179</v>
      </c>
      <c r="E98" s="1"/>
      <c r="F98" s="1" t="s">
        <v>19</v>
      </c>
      <c r="G98" s="8" t="s">
        <v>180</v>
      </c>
      <c r="H98" s="8">
        <v>8248438488</v>
      </c>
      <c r="I98" s="10" t="s">
        <v>30</v>
      </c>
      <c r="J98" s="8" t="s">
        <v>181</v>
      </c>
      <c r="K98" s="8" t="s">
        <v>27</v>
      </c>
      <c r="L98" s="8" t="s">
        <v>28</v>
      </c>
      <c r="M98" s="2" t="s">
        <v>146</v>
      </c>
      <c r="N98" s="6" t="s">
        <v>138</v>
      </c>
      <c r="O98" s="11">
        <v>550</v>
      </c>
      <c r="P98" s="22" t="s">
        <v>248</v>
      </c>
      <c r="Q98" s="12" t="str">
        <f t="shared" si="14"/>
        <v>23</v>
      </c>
      <c r="R98" s="12" t="str">
        <f t="shared" si="15"/>
        <v>05</v>
      </c>
      <c r="S98" s="6" t="s">
        <v>129</v>
      </c>
      <c r="T98" s="1" t="s">
        <v>130</v>
      </c>
      <c r="U98" s="6" t="s">
        <v>148</v>
      </c>
      <c r="V98" s="1" t="s">
        <v>143</v>
      </c>
      <c r="W98" s="1" t="s">
        <v>133</v>
      </c>
      <c r="X98" s="5">
        <v>46206</v>
      </c>
      <c r="Y98" s="1">
        <f t="shared" si="16"/>
        <v>72</v>
      </c>
      <c r="Z98" s="5">
        <v>46206</v>
      </c>
      <c r="AA98" s="3"/>
      <c r="AB98" s="3"/>
      <c r="AD98" s="133" t="str">
        <f t="shared" si="13"/>
        <v>Closed In July</v>
      </c>
    </row>
    <row r="99" spans="1:30" hidden="1">
      <c r="A99" s="9">
        <v>46134</v>
      </c>
      <c r="B99" s="1">
        <v>2026</v>
      </c>
      <c r="C99" s="8" t="s">
        <v>26</v>
      </c>
      <c r="D99" s="11" t="s">
        <v>179</v>
      </c>
      <c r="E99" s="1"/>
      <c r="F99" s="1" t="s">
        <v>19</v>
      </c>
      <c r="G99" s="8" t="s">
        <v>180</v>
      </c>
      <c r="H99" s="8">
        <v>8248438488</v>
      </c>
      <c r="I99" s="10" t="s">
        <v>30</v>
      </c>
      <c r="J99" s="8" t="s">
        <v>181</v>
      </c>
      <c r="K99" s="8" t="s">
        <v>27</v>
      </c>
      <c r="L99" s="8" t="s">
        <v>28</v>
      </c>
      <c r="M99" s="2" t="s">
        <v>146</v>
      </c>
      <c r="N99" s="6" t="s">
        <v>138</v>
      </c>
      <c r="O99" s="11">
        <v>550</v>
      </c>
      <c r="P99" s="22" t="s">
        <v>249</v>
      </c>
      <c r="Q99" s="12" t="str">
        <f t="shared" si="14"/>
        <v>23</v>
      </c>
      <c r="R99" s="12" t="str">
        <f t="shared" si="15"/>
        <v>05</v>
      </c>
      <c r="S99" s="6" t="s">
        <v>129</v>
      </c>
      <c r="T99" s="1" t="s">
        <v>130</v>
      </c>
      <c r="U99" s="6" t="s">
        <v>148</v>
      </c>
      <c r="V99" s="1" t="s">
        <v>143</v>
      </c>
      <c r="W99" s="1" t="s">
        <v>133</v>
      </c>
      <c r="X99" s="5">
        <v>46206</v>
      </c>
      <c r="Y99" s="1">
        <f t="shared" si="16"/>
        <v>72</v>
      </c>
      <c r="Z99" s="5">
        <v>46206</v>
      </c>
      <c r="AA99" s="3"/>
      <c r="AB99" s="3"/>
      <c r="AD99" s="133" t="str">
        <f t="shared" si="13"/>
        <v>Closed In July</v>
      </c>
    </row>
    <row r="100" spans="1:30" hidden="1">
      <c r="A100" s="9">
        <v>46134</v>
      </c>
      <c r="B100" s="1">
        <v>2026</v>
      </c>
      <c r="C100" s="8" t="s">
        <v>26</v>
      </c>
      <c r="D100" s="11" t="s">
        <v>179</v>
      </c>
      <c r="E100" s="1"/>
      <c r="F100" s="1" t="s">
        <v>19</v>
      </c>
      <c r="G100" s="8" t="s">
        <v>180</v>
      </c>
      <c r="H100" s="8">
        <v>8248438488</v>
      </c>
      <c r="I100" s="10" t="s">
        <v>30</v>
      </c>
      <c r="J100" s="8" t="s">
        <v>181</v>
      </c>
      <c r="K100" s="8" t="s">
        <v>27</v>
      </c>
      <c r="L100" s="8" t="s">
        <v>28</v>
      </c>
      <c r="M100" s="2" t="s">
        <v>146</v>
      </c>
      <c r="N100" s="6" t="s">
        <v>138</v>
      </c>
      <c r="O100" s="11">
        <v>550</v>
      </c>
      <c r="P100" s="22" t="s">
        <v>250</v>
      </c>
      <c r="Q100" s="12" t="str">
        <f t="shared" si="14"/>
        <v>23</v>
      </c>
      <c r="R100" s="12" t="str">
        <f t="shared" si="15"/>
        <v>05</v>
      </c>
      <c r="S100" s="6" t="s">
        <v>129</v>
      </c>
      <c r="T100" s="1" t="s">
        <v>130</v>
      </c>
      <c r="U100" s="6" t="s">
        <v>148</v>
      </c>
      <c r="V100" s="1" t="s">
        <v>143</v>
      </c>
      <c r="W100" s="1" t="s">
        <v>133</v>
      </c>
      <c r="X100" s="5">
        <v>46206</v>
      </c>
      <c r="Y100" s="1">
        <f t="shared" si="16"/>
        <v>72</v>
      </c>
      <c r="Z100" s="5">
        <v>46206</v>
      </c>
      <c r="AA100" s="3"/>
      <c r="AB100" s="3"/>
      <c r="AD100" s="133" t="str">
        <f t="shared" si="13"/>
        <v>Closed In July</v>
      </c>
    </row>
    <row r="101" spans="1:30" hidden="1">
      <c r="A101" s="9">
        <v>46134</v>
      </c>
      <c r="B101" s="1">
        <v>2026</v>
      </c>
      <c r="C101" s="8" t="s">
        <v>26</v>
      </c>
      <c r="D101" s="11" t="s">
        <v>179</v>
      </c>
      <c r="E101" s="1"/>
      <c r="F101" s="1" t="s">
        <v>19</v>
      </c>
      <c r="G101" s="8" t="s">
        <v>180</v>
      </c>
      <c r="H101" s="8">
        <v>8248438488</v>
      </c>
      <c r="I101" s="10" t="s">
        <v>30</v>
      </c>
      <c r="J101" s="8" t="s">
        <v>181</v>
      </c>
      <c r="K101" s="8" t="s">
        <v>27</v>
      </c>
      <c r="L101" s="8" t="s">
        <v>28</v>
      </c>
      <c r="M101" s="2" t="s">
        <v>146</v>
      </c>
      <c r="N101" s="6" t="s">
        <v>138</v>
      </c>
      <c r="O101" s="11">
        <v>550</v>
      </c>
      <c r="P101" s="22" t="s">
        <v>251</v>
      </c>
      <c r="Q101" s="12" t="str">
        <f t="shared" si="14"/>
        <v>23</v>
      </c>
      <c r="R101" s="12" t="str">
        <f t="shared" si="15"/>
        <v>05</v>
      </c>
      <c r="S101" s="6" t="s">
        <v>129</v>
      </c>
      <c r="T101" s="1" t="s">
        <v>130</v>
      </c>
      <c r="U101" s="6" t="s">
        <v>148</v>
      </c>
      <c r="V101" s="1" t="s">
        <v>143</v>
      </c>
      <c r="W101" s="1" t="s">
        <v>133</v>
      </c>
      <c r="X101" s="5">
        <v>46206</v>
      </c>
      <c r="Y101" s="1">
        <f t="shared" si="16"/>
        <v>72</v>
      </c>
      <c r="Z101" s="5">
        <v>46206</v>
      </c>
      <c r="AA101" s="3"/>
      <c r="AB101" s="3"/>
      <c r="AD101" s="133" t="str">
        <f t="shared" si="13"/>
        <v>Closed In July</v>
      </c>
    </row>
    <row r="102" spans="1:30" hidden="1">
      <c r="A102" s="9">
        <v>46134</v>
      </c>
      <c r="B102" s="1">
        <v>2026</v>
      </c>
      <c r="C102" s="8" t="s">
        <v>26</v>
      </c>
      <c r="D102" s="11" t="s">
        <v>179</v>
      </c>
      <c r="E102" s="1"/>
      <c r="F102" s="1" t="s">
        <v>19</v>
      </c>
      <c r="G102" s="8" t="s">
        <v>180</v>
      </c>
      <c r="H102" s="8">
        <v>8248438488</v>
      </c>
      <c r="I102" s="10" t="s">
        <v>30</v>
      </c>
      <c r="J102" s="8" t="s">
        <v>181</v>
      </c>
      <c r="K102" s="8" t="s">
        <v>27</v>
      </c>
      <c r="L102" s="8" t="s">
        <v>28</v>
      </c>
      <c r="M102" s="2" t="s">
        <v>146</v>
      </c>
      <c r="N102" s="6" t="s">
        <v>138</v>
      </c>
      <c r="O102" s="11">
        <v>550</v>
      </c>
      <c r="P102" s="22" t="s">
        <v>252</v>
      </c>
      <c r="Q102" s="12" t="str">
        <f t="shared" si="14"/>
        <v>23</v>
      </c>
      <c r="R102" s="12" t="str">
        <f t="shared" si="15"/>
        <v>05</v>
      </c>
      <c r="S102" s="6" t="s">
        <v>129</v>
      </c>
      <c r="T102" s="1" t="s">
        <v>130</v>
      </c>
      <c r="U102" s="6" t="s">
        <v>148</v>
      </c>
      <c r="V102" s="1" t="s">
        <v>143</v>
      </c>
      <c r="W102" s="1" t="s">
        <v>133</v>
      </c>
      <c r="X102" s="5">
        <v>46206</v>
      </c>
      <c r="Y102" s="1">
        <f t="shared" si="16"/>
        <v>72</v>
      </c>
      <c r="Z102" s="5">
        <v>46206</v>
      </c>
      <c r="AA102" s="3"/>
      <c r="AB102" s="3"/>
      <c r="AD102" s="133" t="str">
        <f t="shared" si="13"/>
        <v>Closed In July</v>
      </c>
    </row>
    <row r="103" spans="1:30" hidden="1">
      <c r="A103" s="9">
        <v>46134</v>
      </c>
      <c r="B103" s="1">
        <v>2026</v>
      </c>
      <c r="C103" s="8" t="s">
        <v>26</v>
      </c>
      <c r="D103" s="11" t="s">
        <v>179</v>
      </c>
      <c r="E103" s="1"/>
      <c r="F103" s="1" t="s">
        <v>19</v>
      </c>
      <c r="G103" s="8" t="s">
        <v>180</v>
      </c>
      <c r="H103" s="8">
        <v>8248438488</v>
      </c>
      <c r="I103" s="10" t="s">
        <v>30</v>
      </c>
      <c r="J103" s="8" t="s">
        <v>181</v>
      </c>
      <c r="K103" s="8" t="s">
        <v>27</v>
      </c>
      <c r="L103" s="8" t="s">
        <v>28</v>
      </c>
      <c r="M103" s="2" t="s">
        <v>146</v>
      </c>
      <c r="N103" s="6" t="s">
        <v>138</v>
      </c>
      <c r="O103" s="11">
        <v>550</v>
      </c>
      <c r="P103" s="22" t="s">
        <v>253</v>
      </c>
      <c r="Q103" s="12" t="str">
        <f t="shared" si="14"/>
        <v>23</v>
      </c>
      <c r="R103" s="12" t="str">
        <f t="shared" si="15"/>
        <v>05</v>
      </c>
      <c r="S103" s="6" t="s">
        <v>129</v>
      </c>
      <c r="T103" s="1" t="s">
        <v>130</v>
      </c>
      <c r="U103" s="6" t="s">
        <v>148</v>
      </c>
      <c r="V103" s="1" t="s">
        <v>143</v>
      </c>
      <c r="W103" s="1" t="s">
        <v>133</v>
      </c>
      <c r="X103" s="5">
        <v>46206</v>
      </c>
      <c r="Y103" s="1">
        <f t="shared" si="16"/>
        <v>72</v>
      </c>
      <c r="Z103" s="5">
        <v>46206</v>
      </c>
      <c r="AA103" s="3"/>
      <c r="AB103" s="3"/>
      <c r="AD103" s="133" t="str">
        <f t="shared" si="13"/>
        <v>Closed In July</v>
      </c>
    </row>
    <row r="104" spans="1:30" hidden="1">
      <c r="A104" s="9">
        <v>46134</v>
      </c>
      <c r="B104" s="1">
        <v>2026</v>
      </c>
      <c r="C104" s="8" t="s">
        <v>26</v>
      </c>
      <c r="D104" s="11" t="s">
        <v>179</v>
      </c>
      <c r="E104" s="1"/>
      <c r="F104" s="1" t="s">
        <v>19</v>
      </c>
      <c r="G104" s="8" t="s">
        <v>180</v>
      </c>
      <c r="H104" s="8">
        <v>8248438488</v>
      </c>
      <c r="I104" s="10" t="s">
        <v>30</v>
      </c>
      <c r="J104" s="8" t="s">
        <v>181</v>
      </c>
      <c r="K104" s="8" t="s">
        <v>27</v>
      </c>
      <c r="L104" s="8" t="s">
        <v>28</v>
      </c>
      <c r="M104" s="23" t="s">
        <v>254</v>
      </c>
      <c r="N104" s="6" t="s">
        <v>255</v>
      </c>
      <c r="O104" s="11">
        <v>550</v>
      </c>
      <c r="P104" s="22" t="s">
        <v>256</v>
      </c>
      <c r="Q104" s="12" t="str">
        <f t="shared" si="14"/>
        <v>23</v>
      </c>
      <c r="R104" s="12" t="str">
        <f t="shared" si="15"/>
        <v>05</v>
      </c>
      <c r="S104" s="6" t="s">
        <v>129</v>
      </c>
      <c r="T104" s="1" t="s">
        <v>130</v>
      </c>
      <c r="U104" s="6" t="s">
        <v>257</v>
      </c>
      <c r="V104" s="1" t="s">
        <v>258</v>
      </c>
      <c r="W104" s="1" t="s">
        <v>259</v>
      </c>
      <c r="X104" s="5">
        <v>46206</v>
      </c>
      <c r="Y104" s="1">
        <f t="shared" si="16"/>
        <v>72</v>
      </c>
      <c r="Z104" s="5">
        <v>46206</v>
      </c>
      <c r="AA104" s="3"/>
      <c r="AB104" s="3"/>
      <c r="AD104" s="133" t="str">
        <f t="shared" si="13"/>
        <v>Closed In July</v>
      </c>
    </row>
    <row r="105" spans="1:30" hidden="1">
      <c r="A105" s="9">
        <v>46134</v>
      </c>
      <c r="B105" s="1">
        <v>2026</v>
      </c>
      <c r="C105" s="8" t="s">
        <v>26</v>
      </c>
      <c r="D105" s="11" t="s">
        <v>179</v>
      </c>
      <c r="E105" s="1"/>
      <c r="F105" s="1" t="s">
        <v>19</v>
      </c>
      <c r="G105" s="8" t="s">
        <v>180</v>
      </c>
      <c r="H105" s="8">
        <v>8248438488</v>
      </c>
      <c r="I105" s="10" t="s">
        <v>30</v>
      </c>
      <c r="J105" s="8" t="s">
        <v>181</v>
      </c>
      <c r="K105" s="8" t="s">
        <v>27</v>
      </c>
      <c r="L105" s="8" t="s">
        <v>28</v>
      </c>
      <c r="M105" s="2" t="s">
        <v>146</v>
      </c>
      <c r="N105" s="6" t="s">
        <v>138</v>
      </c>
      <c r="O105" s="11">
        <v>550</v>
      </c>
      <c r="P105" s="22" t="s">
        <v>260</v>
      </c>
      <c r="Q105" s="12" t="str">
        <f t="shared" si="14"/>
        <v>23</v>
      </c>
      <c r="R105" s="12" t="str">
        <f t="shared" si="15"/>
        <v>08</v>
      </c>
      <c r="S105" s="6" t="s">
        <v>129</v>
      </c>
      <c r="T105" s="1" t="s">
        <v>130</v>
      </c>
      <c r="U105" s="6" t="s">
        <v>148</v>
      </c>
      <c r="V105" s="1" t="s">
        <v>143</v>
      </c>
      <c r="W105" s="1" t="s">
        <v>133</v>
      </c>
      <c r="X105" s="5">
        <v>46206</v>
      </c>
      <c r="Y105" s="1">
        <f t="shared" si="16"/>
        <v>72</v>
      </c>
      <c r="Z105" s="5">
        <v>46206</v>
      </c>
      <c r="AA105" s="3"/>
      <c r="AB105" s="3"/>
      <c r="AD105" s="133" t="str">
        <f t="shared" si="13"/>
        <v>Closed In July</v>
      </c>
    </row>
    <row r="106" spans="1:30" hidden="1">
      <c r="A106" s="21">
        <v>46177</v>
      </c>
      <c r="B106" s="1">
        <v>2026</v>
      </c>
      <c r="C106" s="8" t="s">
        <v>21</v>
      </c>
      <c r="D106" s="8" t="s">
        <v>134</v>
      </c>
      <c r="E106" s="1"/>
      <c r="F106" s="1" t="s">
        <v>19</v>
      </c>
      <c r="G106" s="11" t="s">
        <v>135</v>
      </c>
      <c r="H106" s="8">
        <v>9578099893</v>
      </c>
      <c r="I106" s="10" t="s">
        <v>25</v>
      </c>
      <c r="J106" s="18" t="s">
        <v>136</v>
      </c>
      <c r="K106" s="8" t="s">
        <v>22</v>
      </c>
      <c r="L106" s="8" t="s">
        <v>23</v>
      </c>
      <c r="M106" s="2" t="s">
        <v>137</v>
      </c>
      <c r="N106" s="1" t="s">
        <v>138</v>
      </c>
      <c r="O106" s="11">
        <v>590</v>
      </c>
      <c r="P106" s="2" t="s">
        <v>261</v>
      </c>
      <c r="Q106" s="12" t="str">
        <f t="shared" si="14"/>
        <v>24</v>
      </c>
      <c r="R106" s="12" t="str">
        <f t="shared" si="15"/>
        <v>10</v>
      </c>
      <c r="S106" s="6" t="s">
        <v>140</v>
      </c>
      <c r="T106" s="1" t="s">
        <v>141</v>
      </c>
      <c r="U106" s="6" t="s">
        <v>142</v>
      </c>
      <c r="V106" s="6" t="s">
        <v>143</v>
      </c>
      <c r="W106" s="1" t="s">
        <v>133</v>
      </c>
      <c r="X106" s="5">
        <v>46206</v>
      </c>
      <c r="Y106" s="1">
        <f t="shared" si="16"/>
        <v>29</v>
      </c>
      <c r="Z106" s="5">
        <v>46206</v>
      </c>
      <c r="AA106" s="3"/>
      <c r="AB106" s="3"/>
      <c r="AD106" s="133" t="str">
        <f t="shared" si="13"/>
        <v>Closed In July</v>
      </c>
    </row>
    <row r="107" spans="1:30" hidden="1">
      <c r="A107" s="21">
        <v>46177</v>
      </c>
      <c r="B107" s="1">
        <v>2026</v>
      </c>
      <c r="C107" s="8" t="s">
        <v>21</v>
      </c>
      <c r="D107" s="8" t="s">
        <v>134</v>
      </c>
      <c r="E107" s="1"/>
      <c r="F107" s="1" t="s">
        <v>19</v>
      </c>
      <c r="G107" s="11" t="s">
        <v>135</v>
      </c>
      <c r="H107" s="8">
        <v>9578099893</v>
      </c>
      <c r="I107" s="10" t="s">
        <v>25</v>
      </c>
      <c r="J107" s="18" t="s">
        <v>136</v>
      </c>
      <c r="K107" s="8" t="s">
        <v>22</v>
      </c>
      <c r="L107" s="8" t="s">
        <v>23</v>
      </c>
      <c r="M107" s="2" t="s">
        <v>146</v>
      </c>
      <c r="N107" s="1" t="s">
        <v>138</v>
      </c>
      <c r="O107" s="11">
        <v>590</v>
      </c>
      <c r="P107" s="2" t="s">
        <v>262</v>
      </c>
      <c r="Q107" s="12" t="str">
        <f t="shared" ref="Q107:Q138" si="17">MID(P107,5,2)</f>
        <v>24</v>
      </c>
      <c r="R107" s="12" t="str">
        <f t="shared" ref="R107:R138" si="18">MID(P107,7,2)</f>
        <v>10</v>
      </c>
      <c r="S107" s="6" t="s">
        <v>140</v>
      </c>
      <c r="T107" s="1" t="s">
        <v>141</v>
      </c>
      <c r="U107" s="1" t="s">
        <v>148</v>
      </c>
      <c r="V107" s="1" t="s">
        <v>143</v>
      </c>
      <c r="W107" s="1" t="s">
        <v>133</v>
      </c>
      <c r="X107" s="5">
        <v>46206</v>
      </c>
      <c r="Y107" s="1">
        <f t="shared" ref="Y107:Y138" si="19">X107-A107</f>
        <v>29</v>
      </c>
      <c r="Z107" s="5">
        <v>46206</v>
      </c>
      <c r="AA107" s="3"/>
      <c r="AB107" s="3"/>
      <c r="AD107" s="133" t="str">
        <f t="shared" si="13"/>
        <v>Closed In July</v>
      </c>
    </row>
    <row r="108" spans="1:30" hidden="1">
      <c r="A108" s="21">
        <v>46177</v>
      </c>
      <c r="B108" s="1">
        <v>2026</v>
      </c>
      <c r="C108" s="8" t="s">
        <v>21</v>
      </c>
      <c r="D108" s="8" t="s">
        <v>134</v>
      </c>
      <c r="E108" s="1"/>
      <c r="F108" s="1" t="s">
        <v>19</v>
      </c>
      <c r="G108" s="11" t="s">
        <v>135</v>
      </c>
      <c r="H108" s="8">
        <v>9578099893</v>
      </c>
      <c r="I108" s="10" t="s">
        <v>25</v>
      </c>
      <c r="J108" s="18" t="s">
        <v>136</v>
      </c>
      <c r="K108" s="8" t="s">
        <v>22</v>
      </c>
      <c r="L108" s="8" t="s">
        <v>23</v>
      </c>
      <c r="M108" s="2" t="s">
        <v>146</v>
      </c>
      <c r="N108" s="1" t="s">
        <v>138</v>
      </c>
      <c r="O108" s="11">
        <v>590</v>
      </c>
      <c r="P108" s="2" t="s">
        <v>263</v>
      </c>
      <c r="Q108" s="12" t="str">
        <f t="shared" si="17"/>
        <v>24</v>
      </c>
      <c r="R108" s="12" t="str">
        <f t="shared" si="18"/>
        <v>10</v>
      </c>
      <c r="S108" s="6" t="s">
        <v>140</v>
      </c>
      <c r="T108" s="1" t="s">
        <v>141</v>
      </c>
      <c r="U108" s="1" t="s">
        <v>148</v>
      </c>
      <c r="V108" s="1" t="s">
        <v>143</v>
      </c>
      <c r="W108" s="1" t="s">
        <v>133</v>
      </c>
      <c r="X108" s="5">
        <v>46206</v>
      </c>
      <c r="Y108" s="1">
        <f t="shared" si="19"/>
        <v>29</v>
      </c>
      <c r="Z108" s="5">
        <v>46206</v>
      </c>
      <c r="AA108" s="3"/>
      <c r="AB108" s="3"/>
      <c r="AD108" s="133" t="str">
        <f t="shared" si="13"/>
        <v>Closed In July</v>
      </c>
    </row>
    <row r="109" spans="1:30" hidden="1">
      <c r="A109" s="21">
        <v>46177</v>
      </c>
      <c r="B109" s="1">
        <v>2026</v>
      </c>
      <c r="C109" s="8" t="s">
        <v>21</v>
      </c>
      <c r="D109" s="8" t="s">
        <v>134</v>
      </c>
      <c r="E109" s="1"/>
      <c r="F109" s="1" t="s">
        <v>19</v>
      </c>
      <c r="G109" s="11" t="s">
        <v>135</v>
      </c>
      <c r="H109" s="8">
        <v>9578099893</v>
      </c>
      <c r="I109" s="10" t="s">
        <v>25</v>
      </c>
      <c r="J109" s="18" t="s">
        <v>136</v>
      </c>
      <c r="K109" s="8" t="s">
        <v>22</v>
      </c>
      <c r="L109" s="8" t="s">
        <v>23</v>
      </c>
      <c r="M109" s="2" t="s">
        <v>146</v>
      </c>
      <c r="N109" s="1" t="s">
        <v>138</v>
      </c>
      <c r="O109" s="11">
        <v>590</v>
      </c>
      <c r="P109" s="2" t="s">
        <v>264</v>
      </c>
      <c r="Q109" s="12" t="str">
        <f t="shared" si="17"/>
        <v>24</v>
      </c>
      <c r="R109" s="12" t="str">
        <f t="shared" si="18"/>
        <v>10</v>
      </c>
      <c r="S109" s="6" t="s">
        <v>140</v>
      </c>
      <c r="T109" s="1" t="s">
        <v>141</v>
      </c>
      <c r="U109" s="1" t="s">
        <v>148</v>
      </c>
      <c r="V109" s="1" t="s">
        <v>143</v>
      </c>
      <c r="W109" s="1" t="s">
        <v>133</v>
      </c>
      <c r="X109" s="5">
        <v>46206</v>
      </c>
      <c r="Y109" s="1">
        <f t="shared" si="19"/>
        <v>29</v>
      </c>
      <c r="Z109" s="5">
        <v>46206</v>
      </c>
      <c r="AA109" s="3"/>
      <c r="AB109" s="3"/>
      <c r="AD109" s="133" t="str">
        <f t="shared" si="13"/>
        <v>Closed In July</v>
      </c>
    </row>
    <row r="110" spans="1:30" hidden="1">
      <c r="A110" s="21">
        <v>46177</v>
      </c>
      <c r="B110" s="1">
        <v>2026</v>
      </c>
      <c r="C110" s="8" t="s">
        <v>21</v>
      </c>
      <c r="D110" s="8" t="s">
        <v>134</v>
      </c>
      <c r="E110" s="1"/>
      <c r="F110" s="1" t="s">
        <v>19</v>
      </c>
      <c r="G110" s="11" t="s">
        <v>135</v>
      </c>
      <c r="H110" s="8">
        <v>9578099893</v>
      </c>
      <c r="I110" s="10" t="s">
        <v>25</v>
      </c>
      <c r="J110" s="18" t="s">
        <v>136</v>
      </c>
      <c r="K110" s="8" t="s">
        <v>22</v>
      </c>
      <c r="L110" s="8" t="s">
        <v>23</v>
      </c>
      <c r="M110" s="2" t="s">
        <v>146</v>
      </c>
      <c r="N110" s="1" t="s">
        <v>138</v>
      </c>
      <c r="O110" s="11">
        <v>590</v>
      </c>
      <c r="P110" s="2" t="s">
        <v>265</v>
      </c>
      <c r="Q110" s="12" t="str">
        <f t="shared" si="17"/>
        <v>24</v>
      </c>
      <c r="R110" s="12" t="str">
        <f t="shared" si="18"/>
        <v>10</v>
      </c>
      <c r="S110" s="6" t="s">
        <v>140</v>
      </c>
      <c r="T110" s="1" t="s">
        <v>141</v>
      </c>
      <c r="U110" s="1" t="s">
        <v>148</v>
      </c>
      <c r="V110" s="1" t="s">
        <v>143</v>
      </c>
      <c r="W110" s="1" t="s">
        <v>133</v>
      </c>
      <c r="X110" s="5">
        <v>46206</v>
      </c>
      <c r="Y110" s="1">
        <f t="shared" si="19"/>
        <v>29</v>
      </c>
      <c r="Z110" s="5">
        <v>46206</v>
      </c>
      <c r="AA110" s="3"/>
      <c r="AB110" s="3"/>
      <c r="AD110" s="133" t="str">
        <f t="shared" si="13"/>
        <v>Closed In July</v>
      </c>
    </row>
    <row r="111" spans="1:30" hidden="1">
      <c r="A111" s="21">
        <v>46177</v>
      </c>
      <c r="B111" s="1">
        <v>2026</v>
      </c>
      <c r="C111" s="8" t="s">
        <v>21</v>
      </c>
      <c r="D111" s="8" t="s">
        <v>134</v>
      </c>
      <c r="E111" s="1"/>
      <c r="F111" s="1" t="s">
        <v>19</v>
      </c>
      <c r="G111" s="11" t="s">
        <v>135</v>
      </c>
      <c r="H111" s="8">
        <v>9578099893</v>
      </c>
      <c r="I111" s="10" t="s">
        <v>25</v>
      </c>
      <c r="J111" s="18" t="s">
        <v>136</v>
      </c>
      <c r="K111" s="8" t="s">
        <v>22</v>
      </c>
      <c r="L111" s="8" t="s">
        <v>23</v>
      </c>
      <c r="M111" s="2" t="s">
        <v>146</v>
      </c>
      <c r="N111" s="1" t="s">
        <v>138</v>
      </c>
      <c r="O111" s="11">
        <v>590</v>
      </c>
      <c r="P111" s="2" t="s">
        <v>266</v>
      </c>
      <c r="Q111" s="12" t="str">
        <f t="shared" si="17"/>
        <v>24</v>
      </c>
      <c r="R111" s="12" t="str">
        <f t="shared" si="18"/>
        <v>10</v>
      </c>
      <c r="S111" s="6" t="s">
        <v>140</v>
      </c>
      <c r="T111" s="1" t="s">
        <v>141</v>
      </c>
      <c r="U111" s="1" t="s">
        <v>148</v>
      </c>
      <c r="V111" s="1" t="s">
        <v>143</v>
      </c>
      <c r="W111" s="1" t="s">
        <v>133</v>
      </c>
      <c r="X111" s="5">
        <v>46206</v>
      </c>
      <c r="Y111" s="1">
        <f t="shared" si="19"/>
        <v>29</v>
      </c>
      <c r="Z111" s="5">
        <v>46206</v>
      </c>
      <c r="AA111" s="3"/>
      <c r="AB111" s="3"/>
      <c r="AD111" s="133" t="str">
        <f t="shared" si="13"/>
        <v>Closed In July</v>
      </c>
    </row>
    <row r="112" spans="1:30" hidden="1">
      <c r="A112" s="21">
        <v>46177</v>
      </c>
      <c r="B112" s="1">
        <v>2026</v>
      </c>
      <c r="C112" s="8" t="s">
        <v>21</v>
      </c>
      <c r="D112" s="8" t="s">
        <v>134</v>
      </c>
      <c r="E112" s="1"/>
      <c r="F112" s="1" t="s">
        <v>19</v>
      </c>
      <c r="G112" s="11" t="s">
        <v>135</v>
      </c>
      <c r="H112" s="8">
        <v>9578099893</v>
      </c>
      <c r="I112" s="10" t="s">
        <v>25</v>
      </c>
      <c r="J112" s="18" t="s">
        <v>136</v>
      </c>
      <c r="K112" s="8" t="s">
        <v>22</v>
      </c>
      <c r="L112" s="8" t="s">
        <v>23</v>
      </c>
      <c r="M112" s="2" t="s">
        <v>146</v>
      </c>
      <c r="N112" s="1" t="s">
        <v>138</v>
      </c>
      <c r="O112" s="11">
        <v>590</v>
      </c>
      <c r="P112" s="2" t="s">
        <v>267</v>
      </c>
      <c r="Q112" s="12" t="str">
        <f t="shared" si="17"/>
        <v>24</v>
      </c>
      <c r="R112" s="12" t="str">
        <f t="shared" si="18"/>
        <v>10</v>
      </c>
      <c r="S112" s="6" t="s">
        <v>140</v>
      </c>
      <c r="T112" s="1" t="s">
        <v>141</v>
      </c>
      <c r="U112" s="1" t="s">
        <v>148</v>
      </c>
      <c r="V112" s="1" t="s">
        <v>143</v>
      </c>
      <c r="W112" s="1" t="s">
        <v>133</v>
      </c>
      <c r="X112" s="5">
        <v>46206</v>
      </c>
      <c r="Y112" s="1">
        <f t="shared" si="19"/>
        <v>29</v>
      </c>
      <c r="Z112" s="5">
        <v>46206</v>
      </c>
      <c r="AA112" s="3"/>
      <c r="AB112" s="3"/>
      <c r="AD112" s="133" t="str">
        <f t="shared" si="13"/>
        <v>Closed In July</v>
      </c>
    </row>
    <row r="113" spans="1:30" hidden="1">
      <c r="A113" s="21">
        <v>46177</v>
      </c>
      <c r="B113" s="1">
        <v>2026</v>
      </c>
      <c r="C113" s="8" t="s">
        <v>21</v>
      </c>
      <c r="D113" s="8" t="s">
        <v>134</v>
      </c>
      <c r="E113" s="1"/>
      <c r="F113" s="1" t="s">
        <v>19</v>
      </c>
      <c r="G113" s="11" t="s">
        <v>135</v>
      </c>
      <c r="H113" s="8">
        <v>9578099893</v>
      </c>
      <c r="I113" s="10" t="s">
        <v>25</v>
      </c>
      <c r="J113" s="18" t="s">
        <v>136</v>
      </c>
      <c r="K113" s="8" t="s">
        <v>22</v>
      </c>
      <c r="L113" s="8" t="s">
        <v>23</v>
      </c>
      <c r="M113" s="2" t="s">
        <v>152</v>
      </c>
      <c r="N113" s="1" t="s">
        <v>138</v>
      </c>
      <c r="O113" s="11">
        <v>590</v>
      </c>
      <c r="P113" s="2" t="s">
        <v>268</v>
      </c>
      <c r="Q113" s="12" t="str">
        <f t="shared" si="17"/>
        <v>24</v>
      </c>
      <c r="R113" s="12" t="str">
        <f t="shared" si="18"/>
        <v>11</v>
      </c>
      <c r="S113" s="6" t="s">
        <v>140</v>
      </c>
      <c r="T113" s="1" t="s">
        <v>141</v>
      </c>
      <c r="U113" s="1" t="s">
        <v>154</v>
      </c>
      <c r="V113" s="1" t="s">
        <v>143</v>
      </c>
      <c r="W113" s="1" t="s">
        <v>133</v>
      </c>
      <c r="X113" s="5">
        <v>46206</v>
      </c>
      <c r="Y113" s="1">
        <f t="shared" si="19"/>
        <v>29</v>
      </c>
      <c r="Z113" s="5">
        <v>46206</v>
      </c>
      <c r="AA113" s="3"/>
      <c r="AB113" s="3"/>
      <c r="AD113" s="133" t="str">
        <f t="shared" si="13"/>
        <v>Closed In July</v>
      </c>
    </row>
    <row r="114" spans="1:30" hidden="1">
      <c r="A114" s="21">
        <v>46177</v>
      </c>
      <c r="B114" s="1">
        <v>2026</v>
      </c>
      <c r="C114" s="8" t="s">
        <v>21</v>
      </c>
      <c r="D114" s="8" t="s">
        <v>134</v>
      </c>
      <c r="E114" s="1"/>
      <c r="F114" s="1" t="s">
        <v>19</v>
      </c>
      <c r="G114" s="11" t="s">
        <v>135</v>
      </c>
      <c r="H114" s="8">
        <v>9578099893</v>
      </c>
      <c r="I114" s="10" t="s">
        <v>25</v>
      </c>
      <c r="J114" s="18" t="s">
        <v>136</v>
      </c>
      <c r="K114" s="8" t="s">
        <v>22</v>
      </c>
      <c r="L114" s="8" t="s">
        <v>23</v>
      </c>
      <c r="M114" s="2" t="s">
        <v>137</v>
      </c>
      <c r="N114" s="1" t="s">
        <v>138</v>
      </c>
      <c r="O114" s="11">
        <v>590</v>
      </c>
      <c r="P114" s="2" t="s">
        <v>269</v>
      </c>
      <c r="Q114" s="12" t="str">
        <f t="shared" si="17"/>
        <v>24</v>
      </c>
      <c r="R114" s="12" t="str">
        <f t="shared" si="18"/>
        <v>11</v>
      </c>
      <c r="S114" s="6" t="s">
        <v>140</v>
      </c>
      <c r="T114" s="1" t="s">
        <v>141</v>
      </c>
      <c r="U114" s="6" t="s">
        <v>142</v>
      </c>
      <c r="V114" s="6" t="s">
        <v>143</v>
      </c>
      <c r="W114" s="1" t="s">
        <v>133</v>
      </c>
      <c r="X114" s="5">
        <v>46206</v>
      </c>
      <c r="Y114" s="1">
        <f t="shared" si="19"/>
        <v>29</v>
      </c>
      <c r="Z114" s="5">
        <v>46206</v>
      </c>
      <c r="AA114" s="3"/>
      <c r="AB114" s="3"/>
      <c r="AD114" s="133" t="str">
        <f t="shared" si="13"/>
        <v>Closed In July</v>
      </c>
    </row>
    <row r="115" spans="1:30" hidden="1">
      <c r="A115" s="21">
        <v>46177</v>
      </c>
      <c r="B115" s="1">
        <v>2026</v>
      </c>
      <c r="C115" s="8" t="s">
        <v>21</v>
      </c>
      <c r="D115" s="8" t="s">
        <v>134</v>
      </c>
      <c r="E115" s="1"/>
      <c r="F115" s="1" t="s">
        <v>19</v>
      </c>
      <c r="G115" s="11" t="s">
        <v>135</v>
      </c>
      <c r="H115" s="8">
        <v>9578099893</v>
      </c>
      <c r="I115" s="10" t="s">
        <v>25</v>
      </c>
      <c r="J115" s="18" t="s">
        <v>136</v>
      </c>
      <c r="K115" s="8" t="s">
        <v>22</v>
      </c>
      <c r="L115" s="8" t="s">
        <v>23</v>
      </c>
      <c r="M115" s="2" t="s">
        <v>137</v>
      </c>
      <c r="N115" s="1" t="s">
        <v>138</v>
      </c>
      <c r="O115" s="11">
        <v>590</v>
      </c>
      <c r="P115" s="2" t="s">
        <v>270</v>
      </c>
      <c r="Q115" s="12" t="str">
        <f t="shared" si="17"/>
        <v>24</v>
      </c>
      <c r="R115" s="12" t="str">
        <f t="shared" si="18"/>
        <v>11</v>
      </c>
      <c r="S115" s="6" t="s">
        <v>140</v>
      </c>
      <c r="T115" s="1" t="s">
        <v>141</v>
      </c>
      <c r="U115" s="6" t="s">
        <v>142</v>
      </c>
      <c r="V115" s="6" t="s">
        <v>143</v>
      </c>
      <c r="W115" s="1" t="s">
        <v>133</v>
      </c>
      <c r="X115" s="5">
        <v>46206</v>
      </c>
      <c r="Y115" s="1">
        <f t="shared" si="19"/>
        <v>29</v>
      </c>
      <c r="Z115" s="5">
        <v>46206</v>
      </c>
      <c r="AA115" s="3"/>
      <c r="AB115" s="3"/>
      <c r="AD115" s="133" t="str">
        <f t="shared" si="13"/>
        <v>Closed In July</v>
      </c>
    </row>
    <row r="116" spans="1:30" hidden="1">
      <c r="A116" s="21">
        <v>46177</v>
      </c>
      <c r="B116" s="1">
        <v>2026</v>
      </c>
      <c r="C116" s="8" t="s">
        <v>21</v>
      </c>
      <c r="D116" s="8" t="s">
        <v>134</v>
      </c>
      <c r="E116" s="1"/>
      <c r="F116" s="1" t="s">
        <v>19</v>
      </c>
      <c r="G116" s="11" t="s">
        <v>135</v>
      </c>
      <c r="H116" s="8">
        <v>9578099893</v>
      </c>
      <c r="I116" s="10" t="s">
        <v>25</v>
      </c>
      <c r="J116" s="18" t="s">
        <v>136</v>
      </c>
      <c r="K116" s="8" t="s">
        <v>22</v>
      </c>
      <c r="L116" s="8" t="s">
        <v>23</v>
      </c>
      <c r="M116" s="2" t="s">
        <v>137</v>
      </c>
      <c r="N116" s="1" t="s">
        <v>138</v>
      </c>
      <c r="O116" s="11">
        <v>590</v>
      </c>
      <c r="P116" s="2" t="s">
        <v>271</v>
      </c>
      <c r="Q116" s="12" t="str">
        <f t="shared" si="17"/>
        <v>24</v>
      </c>
      <c r="R116" s="12" t="str">
        <f t="shared" si="18"/>
        <v>11</v>
      </c>
      <c r="S116" s="6" t="s">
        <v>140</v>
      </c>
      <c r="T116" s="1" t="s">
        <v>141</v>
      </c>
      <c r="U116" s="6" t="s">
        <v>142</v>
      </c>
      <c r="V116" s="6" t="s">
        <v>143</v>
      </c>
      <c r="W116" s="1" t="s">
        <v>133</v>
      </c>
      <c r="X116" s="5">
        <v>46206</v>
      </c>
      <c r="Y116" s="1">
        <f t="shared" si="19"/>
        <v>29</v>
      </c>
      <c r="Z116" s="5">
        <v>46206</v>
      </c>
      <c r="AA116" s="3"/>
      <c r="AB116" s="3"/>
      <c r="AD116" s="133" t="str">
        <f t="shared" si="13"/>
        <v>Closed In July</v>
      </c>
    </row>
    <row r="117" spans="1:30" hidden="1">
      <c r="A117" s="21">
        <v>46177</v>
      </c>
      <c r="B117" s="1">
        <v>2026</v>
      </c>
      <c r="C117" s="8" t="s">
        <v>21</v>
      </c>
      <c r="D117" s="8" t="s">
        <v>134</v>
      </c>
      <c r="E117" s="1"/>
      <c r="F117" s="1" t="s">
        <v>19</v>
      </c>
      <c r="G117" s="11" t="s">
        <v>135</v>
      </c>
      <c r="H117" s="8">
        <v>9578099893</v>
      </c>
      <c r="I117" s="10" t="s">
        <v>25</v>
      </c>
      <c r="J117" s="18" t="s">
        <v>136</v>
      </c>
      <c r="K117" s="8" t="s">
        <v>22</v>
      </c>
      <c r="L117" s="8" t="s">
        <v>23</v>
      </c>
      <c r="M117" s="2" t="s">
        <v>146</v>
      </c>
      <c r="N117" s="1" t="s">
        <v>138</v>
      </c>
      <c r="O117" s="11">
        <v>590</v>
      </c>
      <c r="P117" s="2" t="s">
        <v>272</v>
      </c>
      <c r="Q117" s="12" t="str">
        <f t="shared" si="17"/>
        <v>24</v>
      </c>
      <c r="R117" s="12" t="str">
        <f t="shared" si="18"/>
        <v>10</v>
      </c>
      <c r="S117" s="6" t="s">
        <v>140</v>
      </c>
      <c r="T117" s="1" t="s">
        <v>141</v>
      </c>
      <c r="U117" s="1" t="s">
        <v>148</v>
      </c>
      <c r="V117" s="1" t="s">
        <v>143</v>
      </c>
      <c r="W117" s="1" t="s">
        <v>133</v>
      </c>
      <c r="X117" s="5">
        <v>46206</v>
      </c>
      <c r="Y117" s="1">
        <f t="shared" si="19"/>
        <v>29</v>
      </c>
      <c r="Z117" s="5">
        <v>46206</v>
      </c>
      <c r="AA117" s="3"/>
      <c r="AB117" s="3"/>
      <c r="AD117" s="133" t="str">
        <f t="shared" si="13"/>
        <v>Closed In July</v>
      </c>
    </row>
    <row r="118" spans="1:30" hidden="1">
      <c r="A118" s="21">
        <v>46177</v>
      </c>
      <c r="B118" s="1">
        <v>2026</v>
      </c>
      <c r="C118" s="8" t="s">
        <v>21</v>
      </c>
      <c r="D118" s="8" t="s">
        <v>134</v>
      </c>
      <c r="E118" s="1"/>
      <c r="F118" s="1" t="s">
        <v>19</v>
      </c>
      <c r="G118" s="11" t="s">
        <v>135</v>
      </c>
      <c r="H118" s="8">
        <v>9578099893</v>
      </c>
      <c r="I118" s="10" t="s">
        <v>25</v>
      </c>
      <c r="J118" s="18" t="s">
        <v>136</v>
      </c>
      <c r="K118" s="8" t="s">
        <v>22</v>
      </c>
      <c r="L118" s="8" t="s">
        <v>23</v>
      </c>
      <c r="M118" s="2" t="s">
        <v>146</v>
      </c>
      <c r="N118" s="1" t="s">
        <v>138</v>
      </c>
      <c r="O118" s="11">
        <v>590</v>
      </c>
      <c r="P118" s="2" t="s">
        <v>273</v>
      </c>
      <c r="Q118" s="12" t="str">
        <f t="shared" si="17"/>
        <v>24</v>
      </c>
      <c r="R118" s="12" t="str">
        <f t="shared" si="18"/>
        <v>11</v>
      </c>
      <c r="S118" s="6" t="s">
        <v>140</v>
      </c>
      <c r="T118" s="1" t="s">
        <v>141</v>
      </c>
      <c r="U118" s="1" t="s">
        <v>148</v>
      </c>
      <c r="V118" s="1" t="s">
        <v>143</v>
      </c>
      <c r="W118" s="1" t="s">
        <v>133</v>
      </c>
      <c r="X118" s="5">
        <v>46206</v>
      </c>
      <c r="Y118" s="1">
        <f t="shared" si="19"/>
        <v>29</v>
      </c>
      <c r="Z118" s="5">
        <v>46206</v>
      </c>
      <c r="AA118" s="3"/>
      <c r="AB118" s="3"/>
      <c r="AD118" s="133" t="str">
        <f t="shared" si="13"/>
        <v>Closed In July</v>
      </c>
    </row>
    <row r="119" spans="1:30" hidden="1">
      <c r="A119" s="21">
        <v>46177</v>
      </c>
      <c r="B119" s="1">
        <v>2026</v>
      </c>
      <c r="C119" s="8" t="s">
        <v>21</v>
      </c>
      <c r="D119" s="8" t="s">
        <v>134</v>
      </c>
      <c r="E119" s="1"/>
      <c r="F119" s="1" t="s">
        <v>19</v>
      </c>
      <c r="G119" s="11" t="s">
        <v>135</v>
      </c>
      <c r="H119" s="8">
        <v>9578099893</v>
      </c>
      <c r="I119" s="10" t="s">
        <v>25</v>
      </c>
      <c r="J119" s="18" t="s">
        <v>136</v>
      </c>
      <c r="K119" s="8" t="s">
        <v>22</v>
      </c>
      <c r="L119" s="8" t="s">
        <v>23</v>
      </c>
      <c r="M119" s="2" t="s">
        <v>137</v>
      </c>
      <c r="N119" s="1" t="s">
        <v>138</v>
      </c>
      <c r="O119" s="11">
        <v>590</v>
      </c>
      <c r="P119" s="2" t="s">
        <v>274</v>
      </c>
      <c r="Q119" s="12" t="str">
        <f t="shared" si="17"/>
        <v>24</v>
      </c>
      <c r="R119" s="12" t="str">
        <f t="shared" si="18"/>
        <v>11</v>
      </c>
      <c r="S119" s="6" t="s">
        <v>140</v>
      </c>
      <c r="T119" s="1" t="s">
        <v>141</v>
      </c>
      <c r="U119" s="6" t="s">
        <v>142</v>
      </c>
      <c r="V119" s="6" t="s">
        <v>143</v>
      </c>
      <c r="W119" s="1" t="s">
        <v>133</v>
      </c>
      <c r="X119" s="5">
        <v>46206</v>
      </c>
      <c r="Y119" s="1">
        <f t="shared" si="19"/>
        <v>29</v>
      </c>
      <c r="Z119" s="5">
        <v>46206</v>
      </c>
      <c r="AA119" s="3"/>
      <c r="AB119" s="3"/>
      <c r="AD119" s="133" t="str">
        <f t="shared" si="13"/>
        <v>Closed In July</v>
      </c>
    </row>
    <row r="120" spans="1:30" hidden="1">
      <c r="A120" s="21">
        <v>46177</v>
      </c>
      <c r="B120" s="1">
        <v>2026</v>
      </c>
      <c r="C120" s="8" t="s">
        <v>21</v>
      </c>
      <c r="D120" s="8" t="s">
        <v>134</v>
      </c>
      <c r="E120" s="1"/>
      <c r="F120" s="1" t="s">
        <v>19</v>
      </c>
      <c r="G120" s="11" t="s">
        <v>135</v>
      </c>
      <c r="H120" s="8">
        <v>9578099893</v>
      </c>
      <c r="I120" s="10" t="s">
        <v>25</v>
      </c>
      <c r="J120" s="18" t="s">
        <v>136</v>
      </c>
      <c r="K120" s="8" t="s">
        <v>22</v>
      </c>
      <c r="L120" s="8" t="s">
        <v>23</v>
      </c>
      <c r="M120" s="2" t="s">
        <v>137</v>
      </c>
      <c r="N120" s="1" t="s">
        <v>138</v>
      </c>
      <c r="O120" s="11">
        <v>590</v>
      </c>
      <c r="P120" s="2" t="s">
        <v>275</v>
      </c>
      <c r="Q120" s="12" t="str">
        <f t="shared" si="17"/>
        <v>24</v>
      </c>
      <c r="R120" s="12" t="str">
        <f t="shared" si="18"/>
        <v>11</v>
      </c>
      <c r="S120" s="6" t="s">
        <v>140</v>
      </c>
      <c r="T120" s="1" t="s">
        <v>141</v>
      </c>
      <c r="U120" s="6" t="s">
        <v>142</v>
      </c>
      <c r="V120" s="6" t="s">
        <v>143</v>
      </c>
      <c r="W120" s="1" t="s">
        <v>133</v>
      </c>
      <c r="X120" s="5">
        <v>46206</v>
      </c>
      <c r="Y120" s="1">
        <f t="shared" si="19"/>
        <v>29</v>
      </c>
      <c r="Z120" s="5">
        <v>46206</v>
      </c>
      <c r="AA120" s="3"/>
      <c r="AB120" s="3"/>
      <c r="AD120" s="133" t="str">
        <f t="shared" si="13"/>
        <v>Closed In July</v>
      </c>
    </row>
    <row r="121" spans="1:30" hidden="1">
      <c r="A121" s="21">
        <v>46177</v>
      </c>
      <c r="B121" s="1">
        <v>2026</v>
      </c>
      <c r="C121" s="8" t="s">
        <v>21</v>
      </c>
      <c r="D121" s="8" t="s">
        <v>134</v>
      </c>
      <c r="E121" s="1"/>
      <c r="F121" s="1" t="s">
        <v>19</v>
      </c>
      <c r="G121" s="11" t="s">
        <v>135</v>
      </c>
      <c r="H121" s="8">
        <v>9578099893</v>
      </c>
      <c r="I121" s="10" t="s">
        <v>25</v>
      </c>
      <c r="J121" s="18" t="s">
        <v>136</v>
      </c>
      <c r="K121" s="8" t="s">
        <v>22</v>
      </c>
      <c r="L121" s="8" t="s">
        <v>23</v>
      </c>
      <c r="M121" s="2" t="s">
        <v>276</v>
      </c>
      <c r="N121" s="6" t="s">
        <v>277</v>
      </c>
      <c r="O121" s="11">
        <v>590</v>
      </c>
      <c r="P121" s="2" t="s">
        <v>278</v>
      </c>
      <c r="Q121" s="12" t="str">
        <f t="shared" si="17"/>
        <v>24</v>
      </c>
      <c r="R121" s="12" t="str">
        <f t="shared" si="18"/>
        <v>11</v>
      </c>
      <c r="S121" s="6" t="s">
        <v>140</v>
      </c>
      <c r="T121" s="1" t="s">
        <v>141</v>
      </c>
      <c r="U121" s="6" t="s">
        <v>279</v>
      </c>
      <c r="V121" s="1" t="s">
        <v>258</v>
      </c>
      <c r="W121" s="1" t="s">
        <v>259</v>
      </c>
      <c r="X121" s="5">
        <v>46206</v>
      </c>
      <c r="Y121" s="1">
        <f t="shared" si="19"/>
        <v>29</v>
      </c>
      <c r="Z121" s="5">
        <v>46206</v>
      </c>
      <c r="AA121" s="3"/>
      <c r="AB121" s="3"/>
      <c r="AD121" s="133" t="str">
        <f t="shared" si="13"/>
        <v>Closed In July</v>
      </c>
    </row>
    <row r="122" spans="1:30" hidden="1">
      <c r="A122" s="21">
        <v>46177</v>
      </c>
      <c r="B122" s="1">
        <v>2026</v>
      </c>
      <c r="C122" s="8" t="s">
        <v>21</v>
      </c>
      <c r="D122" s="8" t="s">
        <v>134</v>
      </c>
      <c r="E122" s="1"/>
      <c r="F122" s="1" t="s">
        <v>19</v>
      </c>
      <c r="G122" s="11" t="s">
        <v>135</v>
      </c>
      <c r="H122" s="8">
        <v>9578099893</v>
      </c>
      <c r="I122" s="10" t="s">
        <v>25</v>
      </c>
      <c r="J122" s="18" t="s">
        <v>136</v>
      </c>
      <c r="K122" s="8" t="s">
        <v>22</v>
      </c>
      <c r="L122" s="8" t="s">
        <v>23</v>
      </c>
      <c r="M122" s="2" t="s">
        <v>137</v>
      </c>
      <c r="N122" s="1" t="s">
        <v>138</v>
      </c>
      <c r="O122" s="11">
        <v>590</v>
      </c>
      <c r="P122" s="2" t="s">
        <v>280</v>
      </c>
      <c r="Q122" s="12" t="str">
        <f t="shared" si="17"/>
        <v>24</v>
      </c>
      <c r="R122" s="12" t="str">
        <f t="shared" si="18"/>
        <v>11</v>
      </c>
      <c r="S122" s="6" t="s">
        <v>140</v>
      </c>
      <c r="T122" s="1" t="s">
        <v>141</v>
      </c>
      <c r="U122" s="6" t="s">
        <v>142</v>
      </c>
      <c r="V122" s="6" t="s">
        <v>143</v>
      </c>
      <c r="W122" s="1" t="s">
        <v>133</v>
      </c>
      <c r="X122" s="5">
        <v>46206</v>
      </c>
      <c r="Y122" s="1">
        <f t="shared" si="19"/>
        <v>29</v>
      </c>
      <c r="Z122" s="5">
        <v>46206</v>
      </c>
      <c r="AA122" s="3"/>
      <c r="AB122" s="3"/>
      <c r="AD122" s="133" t="str">
        <f t="shared" si="13"/>
        <v>Closed In July</v>
      </c>
    </row>
    <row r="123" spans="1:30" hidden="1">
      <c r="A123" s="21">
        <v>46177</v>
      </c>
      <c r="B123" s="1">
        <v>2026</v>
      </c>
      <c r="C123" s="8" t="s">
        <v>21</v>
      </c>
      <c r="D123" s="8" t="s">
        <v>134</v>
      </c>
      <c r="E123" s="1"/>
      <c r="F123" s="1" t="s">
        <v>19</v>
      </c>
      <c r="G123" s="11" t="s">
        <v>135</v>
      </c>
      <c r="H123" s="8">
        <v>9578099893</v>
      </c>
      <c r="I123" s="10" t="s">
        <v>25</v>
      </c>
      <c r="J123" s="18" t="s">
        <v>136</v>
      </c>
      <c r="K123" s="8" t="s">
        <v>22</v>
      </c>
      <c r="L123" s="8" t="s">
        <v>23</v>
      </c>
      <c r="M123" s="2" t="s">
        <v>137</v>
      </c>
      <c r="N123" s="1" t="s">
        <v>138</v>
      </c>
      <c r="O123" s="11">
        <v>590</v>
      </c>
      <c r="P123" s="2" t="s">
        <v>281</v>
      </c>
      <c r="Q123" s="12" t="str">
        <f t="shared" si="17"/>
        <v>24</v>
      </c>
      <c r="R123" s="12" t="str">
        <f t="shared" si="18"/>
        <v>11</v>
      </c>
      <c r="S123" s="6" t="s">
        <v>140</v>
      </c>
      <c r="T123" s="1" t="s">
        <v>141</v>
      </c>
      <c r="U123" s="6" t="s">
        <v>142</v>
      </c>
      <c r="V123" s="6" t="s">
        <v>143</v>
      </c>
      <c r="W123" s="1" t="s">
        <v>133</v>
      </c>
      <c r="X123" s="5">
        <v>46206</v>
      </c>
      <c r="Y123" s="1">
        <f t="shared" si="19"/>
        <v>29</v>
      </c>
      <c r="Z123" s="5">
        <v>46206</v>
      </c>
      <c r="AA123" s="3"/>
      <c r="AB123" s="3"/>
      <c r="AD123" s="133" t="str">
        <f t="shared" si="13"/>
        <v>Closed In July</v>
      </c>
    </row>
    <row r="124" spans="1:30" hidden="1">
      <c r="A124" s="21">
        <v>46177</v>
      </c>
      <c r="B124" s="1">
        <v>2026</v>
      </c>
      <c r="C124" s="8" t="s">
        <v>21</v>
      </c>
      <c r="D124" s="8" t="s">
        <v>134</v>
      </c>
      <c r="E124" s="1"/>
      <c r="F124" s="1" t="s">
        <v>19</v>
      </c>
      <c r="G124" s="11" t="s">
        <v>135</v>
      </c>
      <c r="H124" s="8">
        <v>9578099893</v>
      </c>
      <c r="I124" s="10" t="s">
        <v>25</v>
      </c>
      <c r="J124" s="18" t="s">
        <v>136</v>
      </c>
      <c r="K124" s="8" t="s">
        <v>22</v>
      </c>
      <c r="L124" s="8" t="s">
        <v>23</v>
      </c>
      <c r="M124" s="2" t="s">
        <v>137</v>
      </c>
      <c r="N124" s="1" t="s">
        <v>138</v>
      </c>
      <c r="O124" s="11">
        <v>590</v>
      </c>
      <c r="P124" s="2" t="s">
        <v>282</v>
      </c>
      <c r="Q124" s="12" t="str">
        <f t="shared" si="17"/>
        <v>24</v>
      </c>
      <c r="R124" s="12" t="str">
        <f t="shared" si="18"/>
        <v>11</v>
      </c>
      <c r="S124" s="6" t="s">
        <v>140</v>
      </c>
      <c r="T124" s="1" t="s">
        <v>141</v>
      </c>
      <c r="U124" s="6" t="s">
        <v>142</v>
      </c>
      <c r="V124" s="6" t="s">
        <v>143</v>
      </c>
      <c r="W124" s="1" t="s">
        <v>133</v>
      </c>
      <c r="X124" s="5">
        <v>46206</v>
      </c>
      <c r="Y124" s="1">
        <f t="shared" si="19"/>
        <v>29</v>
      </c>
      <c r="Z124" s="5">
        <v>46206</v>
      </c>
      <c r="AA124" s="3"/>
      <c r="AB124" s="3"/>
      <c r="AD124" s="133" t="str">
        <f t="shared" si="13"/>
        <v>Closed In July</v>
      </c>
    </row>
    <row r="125" spans="1:30" hidden="1">
      <c r="A125" s="21">
        <v>46177</v>
      </c>
      <c r="B125" s="1">
        <v>2026</v>
      </c>
      <c r="C125" s="8" t="s">
        <v>21</v>
      </c>
      <c r="D125" s="8" t="s">
        <v>134</v>
      </c>
      <c r="E125" s="1"/>
      <c r="F125" s="1" t="s">
        <v>19</v>
      </c>
      <c r="G125" s="11" t="s">
        <v>135</v>
      </c>
      <c r="H125" s="8">
        <v>9578099893</v>
      </c>
      <c r="I125" s="10" t="s">
        <v>25</v>
      </c>
      <c r="J125" s="18" t="s">
        <v>136</v>
      </c>
      <c r="K125" s="8" t="s">
        <v>22</v>
      </c>
      <c r="L125" s="8" t="s">
        <v>23</v>
      </c>
      <c r="M125" s="2" t="s">
        <v>137</v>
      </c>
      <c r="N125" s="1" t="s">
        <v>138</v>
      </c>
      <c r="O125" s="11">
        <v>590</v>
      </c>
      <c r="P125" s="2" t="s">
        <v>283</v>
      </c>
      <c r="Q125" s="12" t="str">
        <f t="shared" si="17"/>
        <v>24</v>
      </c>
      <c r="R125" s="12" t="str">
        <f t="shared" si="18"/>
        <v>11</v>
      </c>
      <c r="S125" s="6" t="s">
        <v>140</v>
      </c>
      <c r="T125" s="1" t="s">
        <v>141</v>
      </c>
      <c r="U125" s="6" t="s">
        <v>142</v>
      </c>
      <c r="V125" s="6" t="s">
        <v>143</v>
      </c>
      <c r="W125" s="1" t="s">
        <v>133</v>
      </c>
      <c r="X125" s="5">
        <v>46206</v>
      </c>
      <c r="Y125" s="1">
        <f t="shared" si="19"/>
        <v>29</v>
      </c>
      <c r="Z125" s="5">
        <v>46206</v>
      </c>
      <c r="AA125" s="3"/>
      <c r="AB125" s="3"/>
      <c r="AD125" s="133" t="str">
        <f t="shared" si="13"/>
        <v>Closed In July</v>
      </c>
    </row>
    <row r="126" spans="1:30" hidden="1">
      <c r="A126" s="21">
        <v>46177</v>
      </c>
      <c r="B126" s="1">
        <v>2026</v>
      </c>
      <c r="C126" s="8" t="s">
        <v>21</v>
      </c>
      <c r="D126" s="8" t="s">
        <v>134</v>
      </c>
      <c r="E126" s="1"/>
      <c r="F126" s="1" t="s">
        <v>19</v>
      </c>
      <c r="G126" s="11" t="s">
        <v>135</v>
      </c>
      <c r="H126" s="8">
        <v>9578099893</v>
      </c>
      <c r="I126" s="10" t="s">
        <v>25</v>
      </c>
      <c r="J126" s="18" t="s">
        <v>136</v>
      </c>
      <c r="K126" s="8" t="s">
        <v>22</v>
      </c>
      <c r="L126" s="8" t="s">
        <v>23</v>
      </c>
      <c r="M126" s="2" t="s">
        <v>146</v>
      </c>
      <c r="N126" s="1" t="s">
        <v>138</v>
      </c>
      <c r="O126" s="11">
        <v>590</v>
      </c>
      <c r="P126" s="2" t="s">
        <v>284</v>
      </c>
      <c r="Q126" s="12" t="str">
        <f t="shared" si="17"/>
        <v>24</v>
      </c>
      <c r="R126" s="12" t="str">
        <f t="shared" si="18"/>
        <v>11</v>
      </c>
      <c r="S126" s="6" t="s">
        <v>140</v>
      </c>
      <c r="T126" s="1" t="s">
        <v>141</v>
      </c>
      <c r="U126" s="1" t="s">
        <v>148</v>
      </c>
      <c r="V126" s="1" t="s">
        <v>143</v>
      </c>
      <c r="W126" s="1" t="s">
        <v>133</v>
      </c>
      <c r="X126" s="5">
        <v>46206</v>
      </c>
      <c r="Y126" s="1">
        <f t="shared" si="19"/>
        <v>29</v>
      </c>
      <c r="Z126" s="5">
        <v>46206</v>
      </c>
      <c r="AA126" s="3"/>
      <c r="AB126" s="3"/>
      <c r="AD126" s="133" t="str">
        <f t="shared" si="13"/>
        <v>Closed In July</v>
      </c>
    </row>
    <row r="127" spans="1:30" hidden="1">
      <c r="A127" s="21">
        <v>46177</v>
      </c>
      <c r="B127" s="1">
        <v>2026</v>
      </c>
      <c r="C127" s="8" t="s">
        <v>21</v>
      </c>
      <c r="D127" s="8" t="s">
        <v>134</v>
      </c>
      <c r="E127" s="1"/>
      <c r="F127" s="1" t="s">
        <v>19</v>
      </c>
      <c r="G127" s="11" t="s">
        <v>135</v>
      </c>
      <c r="H127" s="8">
        <v>9578099893</v>
      </c>
      <c r="I127" s="10" t="s">
        <v>25</v>
      </c>
      <c r="J127" s="18" t="s">
        <v>136</v>
      </c>
      <c r="K127" s="8" t="s">
        <v>22</v>
      </c>
      <c r="L127" s="8" t="s">
        <v>23</v>
      </c>
      <c r="M127" s="2" t="s">
        <v>126</v>
      </c>
      <c r="N127" s="1" t="s">
        <v>127</v>
      </c>
      <c r="O127" s="11">
        <v>590</v>
      </c>
      <c r="P127" s="2" t="s">
        <v>285</v>
      </c>
      <c r="Q127" s="12" t="str">
        <f t="shared" si="17"/>
        <v>24</v>
      </c>
      <c r="R127" s="12" t="str">
        <f t="shared" si="18"/>
        <v>11</v>
      </c>
      <c r="S127" s="6" t="s">
        <v>140</v>
      </c>
      <c r="T127" s="1" t="s">
        <v>141</v>
      </c>
      <c r="U127" s="6" t="s">
        <v>145</v>
      </c>
      <c r="V127" s="6" t="s">
        <v>132</v>
      </c>
      <c r="W127" s="1" t="s">
        <v>133</v>
      </c>
      <c r="X127" s="5">
        <v>46206</v>
      </c>
      <c r="Y127" s="1">
        <f t="shared" si="19"/>
        <v>29</v>
      </c>
      <c r="Z127" s="5">
        <v>46206</v>
      </c>
      <c r="AA127" s="3"/>
      <c r="AB127" s="3"/>
      <c r="AD127" s="133" t="str">
        <f t="shared" si="13"/>
        <v>Closed In July</v>
      </c>
    </row>
    <row r="128" spans="1:30" hidden="1">
      <c r="A128" s="21">
        <v>46177</v>
      </c>
      <c r="B128" s="1">
        <v>2026</v>
      </c>
      <c r="C128" s="8" t="s">
        <v>21</v>
      </c>
      <c r="D128" s="8" t="s">
        <v>134</v>
      </c>
      <c r="E128" s="1"/>
      <c r="F128" s="1" t="s">
        <v>19</v>
      </c>
      <c r="G128" s="11" t="s">
        <v>135</v>
      </c>
      <c r="H128" s="8">
        <v>9578099893</v>
      </c>
      <c r="I128" s="10" t="s">
        <v>25</v>
      </c>
      <c r="J128" s="18" t="s">
        <v>136</v>
      </c>
      <c r="K128" s="8" t="s">
        <v>22</v>
      </c>
      <c r="L128" s="8" t="s">
        <v>23</v>
      </c>
      <c r="M128" s="2" t="s">
        <v>126</v>
      </c>
      <c r="N128" s="1" t="s">
        <v>127</v>
      </c>
      <c r="O128" s="11">
        <v>590</v>
      </c>
      <c r="P128" s="2" t="s">
        <v>286</v>
      </c>
      <c r="Q128" s="12" t="str">
        <f t="shared" si="17"/>
        <v>24</v>
      </c>
      <c r="R128" s="12" t="str">
        <f t="shared" si="18"/>
        <v>10</v>
      </c>
      <c r="S128" s="6" t="s">
        <v>140</v>
      </c>
      <c r="T128" s="1" t="s">
        <v>141</v>
      </c>
      <c r="U128" s="6" t="s">
        <v>145</v>
      </c>
      <c r="V128" s="6" t="s">
        <v>132</v>
      </c>
      <c r="W128" s="1" t="s">
        <v>133</v>
      </c>
      <c r="X128" s="5">
        <v>46206</v>
      </c>
      <c r="Y128" s="1">
        <f t="shared" si="19"/>
        <v>29</v>
      </c>
      <c r="Z128" s="5">
        <v>46206</v>
      </c>
      <c r="AA128" s="3"/>
      <c r="AB128" s="3"/>
      <c r="AD128" s="133" t="str">
        <f t="shared" si="13"/>
        <v>Closed In July</v>
      </c>
    </row>
    <row r="129" spans="1:30" hidden="1">
      <c r="A129" s="21">
        <v>46177</v>
      </c>
      <c r="B129" s="1">
        <v>2026</v>
      </c>
      <c r="C129" s="8" t="s">
        <v>21</v>
      </c>
      <c r="D129" s="8" t="s">
        <v>134</v>
      </c>
      <c r="E129" s="1"/>
      <c r="F129" s="1" t="s">
        <v>19</v>
      </c>
      <c r="G129" s="11" t="s">
        <v>135</v>
      </c>
      <c r="H129" s="8">
        <v>9578099893</v>
      </c>
      <c r="I129" s="10" t="s">
        <v>25</v>
      </c>
      <c r="J129" s="18" t="s">
        <v>136</v>
      </c>
      <c r="K129" s="8" t="s">
        <v>22</v>
      </c>
      <c r="L129" s="8" t="s">
        <v>23</v>
      </c>
      <c r="M129" s="2" t="s">
        <v>146</v>
      </c>
      <c r="N129" s="1" t="s">
        <v>138</v>
      </c>
      <c r="O129" s="11">
        <v>590</v>
      </c>
      <c r="P129" s="2" t="s">
        <v>287</v>
      </c>
      <c r="Q129" s="12" t="str">
        <f t="shared" si="17"/>
        <v>24</v>
      </c>
      <c r="R129" s="12" t="str">
        <f t="shared" si="18"/>
        <v>10</v>
      </c>
      <c r="S129" s="6" t="s">
        <v>140</v>
      </c>
      <c r="T129" s="1" t="s">
        <v>141</v>
      </c>
      <c r="U129" s="1" t="s">
        <v>148</v>
      </c>
      <c r="V129" s="1" t="s">
        <v>143</v>
      </c>
      <c r="W129" s="1" t="s">
        <v>133</v>
      </c>
      <c r="X129" s="5">
        <v>46206</v>
      </c>
      <c r="Y129" s="1">
        <f t="shared" si="19"/>
        <v>29</v>
      </c>
      <c r="Z129" s="5">
        <v>46206</v>
      </c>
      <c r="AA129" s="3"/>
      <c r="AB129" s="3"/>
      <c r="AD129" s="133" t="str">
        <f t="shared" si="13"/>
        <v>Closed In July</v>
      </c>
    </row>
    <row r="130" spans="1:30" hidden="1">
      <c r="A130" s="21">
        <v>46177</v>
      </c>
      <c r="B130" s="1">
        <v>2026</v>
      </c>
      <c r="C130" s="8" t="s">
        <v>21</v>
      </c>
      <c r="D130" s="8" t="s">
        <v>134</v>
      </c>
      <c r="E130" s="1"/>
      <c r="F130" s="1" t="s">
        <v>19</v>
      </c>
      <c r="G130" s="11" t="s">
        <v>135</v>
      </c>
      <c r="H130" s="8">
        <v>9578099893</v>
      </c>
      <c r="I130" s="10" t="s">
        <v>25</v>
      </c>
      <c r="J130" s="18" t="s">
        <v>136</v>
      </c>
      <c r="K130" s="8" t="s">
        <v>22</v>
      </c>
      <c r="L130" s="8" t="s">
        <v>23</v>
      </c>
      <c r="M130" s="2" t="s">
        <v>146</v>
      </c>
      <c r="N130" s="1" t="s">
        <v>138</v>
      </c>
      <c r="O130" s="11">
        <v>590</v>
      </c>
      <c r="P130" s="2" t="s">
        <v>288</v>
      </c>
      <c r="Q130" s="12" t="str">
        <f t="shared" si="17"/>
        <v>24</v>
      </c>
      <c r="R130" s="12" t="str">
        <f t="shared" si="18"/>
        <v>11</v>
      </c>
      <c r="S130" s="6" t="s">
        <v>140</v>
      </c>
      <c r="T130" s="1" t="s">
        <v>141</v>
      </c>
      <c r="U130" s="1" t="s">
        <v>148</v>
      </c>
      <c r="V130" s="1" t="s">
        <v>143</v>
      </c>
      <c r="W130" s="1" t="s">
        <v>133</v>
      </c>
      <c r="X130" s="5">
        <v>46206</v>
      </c>
      <c r="Y130" s="1">
        <f t="shared" si="19"/>
        <v>29</v>
      </c>
      <c r="Z130" s="5">
        <v>46206</v>
      </c>
      <c r="AA130" s="3"/>
      <c r="AB130" s="3"/>
      <c r="AD130" s="133" t="str">
        <f t="shared" si="13"/>
        <v>Closed In July</v>
      </c>
    </row>
    <row r="131" spans="1:30" hidden="1">
      <c r="A131" s="21">
        <v>46177</v>
      </c>
      <c r="B131" s="1">
        <v>2026</v>
      </c>
      <c r="C131" s="8" t="s">
        <v>21</v>
      </c>
      <c r="D131" s="8" t="s">
        <v>134</v>
      </c>
      <c r="E131" s="1"/>
      <c r="F131" s="1" t="s">
        <v>19</v>
      </c>
      <c r="G131" s="11" t="s">
        <v>135</v>
      </c>
      <c r="H131" s="8">
        <v>9578099893</v>
      </c>
      <c r="I131" s="10" t="s">
        <v>25</v>
      </c>
      <c r="J131" s="18" t="s">
        <v>136</v>
      </c>
      <c r="K131" s="8" t="s">
        <v>22</v>
      </c>
      <c r="L131" s="8" t="s">
        <v>23</v>
      </c>
      <c r="M131" s="2" t="s">
        <v>137</v>
      </c>
      <c r="N131" s="1" t="s">
        <v>138</v>
      </c>
      <c r="O131" s="11">
        <v>590</v>
      </c>
      <c r="P131" s="2" t="s">
        <v>289</v>
      </c>
      <c r="Q131" s="12" t="str">
        <f t="shared" si="17"/>
        <v>24</v>
      </c>
      <c r="R131" s="12" t="str">
        <f t="shared" si="18"/>
        <v>11</v>
      </c>
      <c r="S131" s="6" t="s">
        <v>140</v>
      </c>
      <c r="T131" s="1" t="s">
        <v>141</v>
      </c>
      <c r="U131" s="6" t="s">
        <v>142</v>
      </c>
      <c r="V131" s="6" t="s">
        <v>143</v>
      </c>
      <c r="W131" s="1" t="s">
        <v>133</v>
      </c>
      <c r="X131" s="5">
        <v>46206</v>
      </c>
      <c r="Y131" s="1">
        <f t="shared" si="19"/>
        <v>29</v>
      </c>
      <c r="Z131" s="5">
        <v>46206</v>
      </c>
      <c r="AA131" s="3"/>
      <c r="AB131" s="3"/>
      <c r="AD131" s="133" t="str">
        <f t="shared" ref="AD131:AD194" si="20">IF(AND(F131="Closed",X131&gt;=DATE(2026,7,1),X131&lt;=DATE(2026,7,31)),"Closed In July","Other")</f>
        <v>Closed In July</v>
      </c>
    </row>
    <row r="132" spans="1:30" hidden="1">
      <c r="A132" s="21">
        <v>46177</v>
      </c>
      <c r="B132" s="1">
        <v>2026</v>
      </c>
      <c r="C132" s="8" t="s">
        <v>21</v>
      </c>
      <c r="D132" s="8" t="s">
        <v>134</v>
      </c>
      <c r="E132" s="1"/>
      <c r="F132" s="1" t="s">
        <v>19</v>
      </c>
      <c r="G132" s="11" t="s">
        <v>135</v>
      </c>
      <c r="H132" s="8">
        <v>9578099893</v>
      </c>
      <c r="I132" s="10" t="s">
        <v>25</v>
      </c>
      <c r="J132" s="18" t="s">
        <v>136</v>
      </c>
      <c r="K132" s="8" t="s">
        <v>22</v>
      </c>
      <c r="L132" s="8" t="s">
        <v>23</v>
      </c>
      <c r="M132" s="2" t="s">
        <v>137</v>
      </c>
      <c r="N132" s="1" t="s">
        <v>138</v>
      </c>
      <c r="O132" s="11">
        <v>590</v>
      </c>
      <c r="P132" s="2" t="s">
        <v>290</v>
      </c>
      <c r="Q132" s="12" t="str">
        <f t="shared" si="17"/>
        <v>24</v>
      </c>
      <c r="R132" s="12" t="str">
        <f t="shared" si="18"/>
        <v>11</v>
      </c>
      <c r="S132" s="6" t="s">
        <v>140</v>
      </c>
      <c r="T132" s="1" t="s">
        <v>141</v>
      </c>
      <c r="U132" s="6" t="s">
        <v>142</v>
      </c>
      <c r="V132" s="6" t="s">
        <v>143</v>
      </c>
      <c r="W132" s="1" t="s">
        <v>133</v>
      </c>
      <c r="X132" s="5">
        <v>46206</v>
      </c>
      <c r="Y132" s="1">
        <f t="shared" si="19"/>
        <v>29</v>
      </c>
      <c r="Z132" s="5">
        <v>46206</v>
      </c>
      <c r="AA132" s="3"/>
      <c r="AB132" s="3"/>
      <c r="AD132" s="133" t="str">
        <f t="shared" si="20"/>
        <v>Closed In July</v>
      </c>
    </row>
    <row r="133" spans="1:30" hidden="1">
      <c r="A133" s="21">
        <v>46177</v>
      </c>
      <c r="B133" s="1">
        <v>2026</v>
      </c>
      <c r="C133" s="8" t="s">
        <v>21</v>
      </c>
      <c r="D133" s="8" t="s">
        <v>134</v>
      </c>
      <c r="E133" s="1"/>
      <c r="F133" s="1" t="s">
        <v>19</v>
      </c>
      <c r="G133" s="11" t="s">
        <v>135</v>
      </c>
      <c r="H133" s="8">
        <v>9578099893</v>
      </c>
      <c r="I133" s="10" t="s">
        <v>25</v>
      </c>
      <c r="J133" s="18" t="s">
        <v>136</v>
      </c>
      <c r="K133" s="8" t="s">
        <v>22</v>
      </c>
      <c r="L133" s="8" t="s">
        <v>23</v>
      </c>
      <c r="M133" s="2" t="s">
        <v>137</v>
      </c>
      <c r="N133" s="1" t="s">
        <v>138</v>
      </c>
      <c r="O133" s="11">
        <v>590</v>
      </c>
      <c r="P133" s="2" t="s">
        <v>291</v>
      </c>
      <c r="Q133" s="12" t="str">
        <f t="shared" si="17"/>
        <v>24</v>
      </c>
      <c r="R133" s="12" t="str">
        <f t="shared" si="18"/>
        <v>11</v>
      </c>
      <c r="S133" s="6" t="s">
        <v>140</v>
      </c>
      <c r="T133" s="1" t="s">
        <v>141</v>
      </c>
      <c r="U133" s="6" t="s">
        <v>142</v>
      </c>
      <c r="V133" s="6" t="s">
        <v>143</v>
      </c>
      <c r="W133" s="1" t="s">
        <v>133</v>
      </c>
      <c r="X133" s="5">
        <v>46206</v>
      </c>
      <c r="Y133" s="1">
        <f t="shared" si="19"/>
        <v>29</v>
      </c>
      <c r="Z133" s="5">
        <v>46206</v>
      </c>
      <c r="AA133" s="3"/>
      <c r="AB133" s="3"/>
      <c r="AD133" s="133" t="str">
        <f t="shared" si="20"/>
        <v>Closed In July</v>
      </c>
    </row>
    <row r="134" spans="1:30" hidden="1">
      <c r="A134" s="21">
        <v>46177</v>
      </c>
      <c r="B134" s="1">
        <v>2026</v>
      </c>
      <c r="C134" s="8" t="s">
        <v>21</v>
      </c>
      <c r="D134" s="8" t="s">
        <v>134</v>
      </c>
      <c r="E134" s="1"/>
      <c r="F134" s="1" t="s">
        <v>19</v>
      </c>
      <c r="G134" s="11" t="s">
        <v>135</v>
      </c>
      <c r="H134" s="8">
        <v>9578099893</v>
      </c>
      <c r="I134" s="10" t="s">
        <v>25</v>
      </c>
      <c r="J134" s="18" t="s">
        <v>136</v>
      </c>
      <c r="K134" s="8" t="s">
        <v>22</v>
      </c>
      <c r="L134" s="8" t="s">
        <v>23</v>
      </c>
      <c r="M134" s="2" t="s">
        <v>146</v>
      </c>
      <c r="N134" s="1" t="s">
        <v>138</v>
      </c>
      <c r="O134" s="11">
        <v>590</v>
      </c>
      <c r="P134" s="2" t="s">
        <v>292</v>
      </c>
      <c r="Q134" s="12" t="str">
        <f t="shared" si="17"/>
        <v>24</v>
      </c>
      <c r="R134" s="12" t="str">
        <f t="shared" si="18"/>
        <v>10</v>
      </c>
      <c r="S134" s="6" t="s">
        <v>140</v>
      </c>
      <c r="T134" s="1" t="s">
        <v>141</v>
      </c>
      <c r="U134" s="1" t="s">
        <v>148</v>
      </c>
      <c r="V134" s="1" t="s">
        <v>143</v>
      </c>
      <c r="W134" s="1" t="s">
        <v>133</v>
      </c>
      <c r="X134" s="5">
        <v>46206</v>
      </c>
      <c r="Y134" s="1">
        <f t="shared" si="19"/>
        <v>29</v>
      </c>
      <c r="Z134" s="5">
        <v>46206</v>
      </c>
      <c r="AA134" s="3"/>
      <c r="AB134" s="3"/>
      <c r="AD134" s="133" t="str">
        <f t="shared" si="20"/>
        <v>Closed In July</v>
      </c>
    </row>
    <row r="135" spans="1:30" hidden="1">
      <c r="A135" s="21">
        <v>46177</v>
      </c>
      <c r="B135" s="1">
        <v>2026</v>
      </c>
      <c r="C135" s="8" t="s">
        <v>21</v>
      </c>
      <c r="D135" s="8" t="s">
        <v>134</v>
      </c>
      <c r="E135" s="1"/>
      <c r="F135" s="1" t="s">
        <v>19</v>
      </c>
      <c r="G135" s="11" t="s">
        <v>135</v>
      </c>
      <c r="H135" s="8">
        <v>9578099893</v>
      </c>
      <c r="I135" s="10" t="s">
        <v>25</v>
      </c>
      <c r="J135" s="18" t="s">
        <v>136</v>
      </c>
      <c r="K135" s="8" t="s">
        <v>22</v>
      </c>
      <c r="L135" s="8" t="s">
        <v>23</v>
      </c>
      <c r="M135" s="2" t="s">
        <v>146</v>
      </c>
      <c r="N135" s="1" t="s">
        <v>138</v>
      </c>
      <c r="O135" s="11">
        <v>590</v>
      </c>
      <c r="P135" s="2" t="s">
        <v>293</v>
      </c>
      <c r="Q135" s="12" t="str">
        <f t="shared" si="17"/>
        <v>24</v>
      </c>
      <c r="R135" s="12" t="str">
        <f t="shared" si="18"/>
        <v>10</v>
      </c>
      <c r="S135" s="6" t="s">
        <v>140</v>
      </c>
      <c r="T135" s="1" t="s">
        <v>141</v>
      </c>
      <c r="U135" s="1" t="s">
        <v>148</v>
      </c>
      <c r="V135" s="1" t="s">
        <v>143</v>
      </c>
      <c r="W135" s="1" t="s">
        <v>133</v>
      </c>
      <c r="X135" s="5">
        <v>46206</v>
      </c>
      <c r="Y135" s="1">
        <f t="shared" si="19"/>
        <v>29</v>
      </c>
      <c r="Z135" s="5">
        <v>46206</v>
      </c>
      <c r="AA135" s="3"/>
      <c r="AB135" s="3"/>
      <c r="AD135" s="133" t="str">
        <f t="shared" si="20"/>
        <v>Closed In July</v>
      </c>
    </row>
    <row r="136" spans="1:30" hidden="1">
      <c r="A136" s="21">
        <v>46177</v>
      </c>
      <c r="B136" s="1">
        <v>2026</v>
      </c>
      <c r="C136" s="8" t="s">
        <v>21</v>
      </c>
      <c r="D136" s="8" t="s">
        <v>134</v>
      </c>
      <c r="E136" s="1"/>
      <c r="F136" s="1" t="s">
        <v>19</v>
      </c>
      <c r="G136" s="11" t="s">
        <v>135</v>
      </c>
      <c r="H136" s="8">
        <v>9578099893</v>
      </c>
      <c r="I136" s="10" t="s">
        <v>25</v>
      </c>
      <c r="J136" s="18" t="s">
        <v>136</v>
      </c>
      <c r="K136" s="8" t="s">
        <v>22</v>
      </c>
      <c r="L136" s="8" t="s">
        <v>23</v>
      </c>
      <c r="M136" s="2" t="s">
        <v>146</v>
      </c>
      <c r="N136" s="1" t="s">
        <v>138</v>
      </c>
      <c r="O136" s="11">
        <v>590</v>
      </c>
      <c r="P136" s="2" t="s">
        <v>294</v>
      </c>
      <c r="Q136" s="12" t="str">
        <f t="shared" si="17"/>
        <v>24</v>
      </c>
      <c r="R136" s="12" t="str">
        <f t="shared" si="18"/>
        <v>11</v>
      </c>
      <c r="S136" s="6" t="s">
        <v>140</v>
      </c>
      <c r="T136" s="1" t="s">
        <v>141</v>
      </c>
      <c r="U136" s="1" t="s">
        <v>148</v>
      </c>
      <c r="V136" s="1" t="s">
        <v>143</v>
      </c>
      <c r="W136" s="1" t="s">
        <v>133</v>
      </c>
      <c r="X136" s="5">
        <v>46206</v>
      </c>
      <c r="Y136" s="1">
        <f t="shared" si="19"/>
        <v>29</v>
      </c>
      <c r="Z136" s="5">
        <v>46206</v>
      </c>
      <c r="AA136" s="3"/>
      <c r="AB136" s="3"/>
      <c r="AD136" s="133" t="str">
        <f t="shared" si="20"/>
        <v>Closed In July</v>
      </c>
    </row>
    <row r="137" spans="1:30" hidden="1">
      <c r="A137" s="21">
        <v>46177</v>
      </c>
      <c r="B137" s="1">
        <v>2026</v>
      </c>
      <c r="C137" s="8" t="s">
        <v>21</v>
      </c>
      <c r="D137" s="8" t="s">
        <v>134</v>
      </c>
      <c r="E137" s="1"/>
      <c r="F137" s="1" t="s">
        <v>19</v>
      </c>
      <c r="G137" s="11" t="s">
        <v>135</v>
      </c>
      <c r="H137" s="8">
        <v>9578099893</v>
      </c>
      <c r="I137" s="10" t="s">
        <v>25</v>
      </c>
      <c r="J137" s="18" t="s">
        <v>136</v>
      </c>
      <c r="K137" s="8" t="s">
        <v>22</v>
      </c>
      <c r="L137" s="8" t="s">
        <v>23</v>
      </c>
      <c r="M137" s="2" t="s">
        <v>146</v>
      </c>
      <c r="N137" s="1" t="s">
        <v>138</v>
      </c>
      <c r="O137" s="11">
        <v>590</v>
      </c>
      <c r="P137" s="2" t="s">
        <v>295</v>
      </c>
      <c r="Q137" s="12" t="str">
        <f t="shared" si="17"/>
        <v>24</v>
      </c>
      <c r="R137" s="12" t="str">
        <f t="shared" si="18"/>
        <v>10</v>
      </c>
      <c r="S137" s="6" t="s">
        <v>140</v>
      </c>
      <c r="T137" s="1" t="s">
        <v>141</v>
      </c>
      <c r="U137" s="1" t="s">
        <v>148</v>
      </c>
      <c r="V137" s="1" t="s">
        <v>143</v>
      </c>
      <c r="W137" s="1" t="s">
        <v>133</v>
      </c>
      <c r="X137" s="5">
        <v>46206</v>
      </c>
      <c r="Y137" s="1">
        <f t="shared" si="19"/>
        <v>29</v>
      </c>
      <c r="Z137" s="5">
        <v>46206</v>
      </c>
      <c r="AA137" s="3"/>
      <c r="AB137" s="3"/>
      <c r="AD137" s="133" t="str">
        <f t="shared" si="20"/>
        <v>Closed In July</v>
      </c>
    </row>
    <row r="138" spans="1:30" hidden="1">
      <c r="A138" s="21">
        <v>46177</v>
      </c>
      <c r="B138" s="1">
        <v>2026</v>
      </c>
      <c r="C138" s="8" t="s">
        <v>21</v>
      </c>
      <c r="D138" s="8" t="s">
        <v>134</v>
      </c>
      <c r="E138" s="1"/>
      <c r="F138" s="1" t="s">
        <v>19</v>
      </c>
      <c r="G138" s="11" t="s">
        <v>135</v>
      </c>
      <c r="H138" s="8">
        <v>9578099893</v>
      </c>
      <c r="I138" s="10" t="s">
        <v>25</v>
      </c>
      <c r="J138" s="18" t="s">
        <v>136</v>
      </c>
      <c r="K138" s="8" t="s">
        <v>22</v>
      </c>
      <c r="L138" s="8" t="s">
        <v>23</v>
      </c>
      <c r="M138" s="2" t="s">
        <v>146</v>
      </c>
      <c r="N138" s="1" t="s">
        <v>138</v>
      </c>
      <c r="O138" s="11">
        <v>590</v>
      </c>
      <c r="P138" s="2" t="s">
        <v>296</v>
      </c>
      <c r="Q138" s="12" t="str">
        <f t="shared" si="17"/>
        <v>24</v>
      </c>
      <c r="R138" s="12" t="str">
        <f t="shared" si="18"/>
        <v>11</v>
      </c>
      <c r="S138" s="6" t="s">
        <v>140</v>
      </c>
      <c r="T138" s="1" t="s">
        <v>141</v>
      </c>
      <c r="U138" s="1" t="s">
        <v>148</v>
      </c>
      <c r="V138" s="1" t="s">
        <v>143</v>
      </c>
      <c r="W138" s="1" t="s">
        <v>133</v>
      </c>
      <c r="X138" s="5">
        <v>46206</v>
      </c>
      <c r="Y138" s="1">
        <f t="shared" si="19"/>
        <v>29</v>
      </c>
      <c r="Z138" s="5">
        <v>46206</v>
      </c>
      <c r="AA138" s="3"/>
      <c r="AB138" s="3"/>
      <c r="AD138" s="133" t="str">
        <f t="shared" si="20"/>
        <v>Closed In July</v>
      </c>
    </row>
    <row r="139" spans="1:30" hidden="1">
      <c r="A139" s="21">
        <v>46177</v>
      </c>
      <c r="B139" s="1">
        <v>2026</v>
      </c>
      <c r="C139" s="8" t="s">
        <v>21</v>
      </c>
      <c r="D139" s="8" t="s">
        <v>134</v>
      </c>
      <c r="E139" s="1"/>
      <c r="F139" s="1" t="s">
        <v>19</v>
      </c>
      <c r="G139" s="11" t="s">
        <v>135</v>
      </c>
      <c r="H139" s="8">
        <v>9578099893</v>
      </c>
      <c r="I139" s="10" t="s">
        <v>25</v>
      </c>
      <c r="J139" s="18" t="s">
        <v>136</v>
      </c>
      <c r="K139" s="8" t="s">
        <v>22</v>
      </c>
      <c r="L139" s="8" t="s">
        <v>23</v>
      </c>
      <c r="M139" s="2" t="s">
        <v>146</v>
      </c>
      <c r="N139" s="1" t="s">
        <v>138</v>
      </c>
      <c r="O139" s="11">
        <v>590</v>
      </c>
      <c r="P139" s="2" t="s">
        <v>297</v>
      </c>
      <c r="Q139" s="12" t="str">
        <f t="shared" ref="Q139" si="21">MID(P139,5,2)</f>
        <v>24</v>
      </c>
      <c r="R139" s="12" t="str">
        <f t="shared" ref="R139" si="22">MID(P139,7,2)</f>
        <v>10</v>
      </c>
      <c r="S139" s="6" t="s">
        <v>140</v>
      </c>
      <c r="T139" s="1" t="s">
        <v>141</v>
      </c>
      <c r="U139" s="1" t="s">
        <v>148</v>
      </c>
      <c r="V139" s="1" t="s">
        <v>143</v>
      </c>
      <c r="W139" s="1" t="s">
        <v>133</v>
      </c>
      <c r="X139" s="5">
        <v>46207</v>
      </c>
      <c r="Y139" s="1">
        <f t="shared" ref="Y139" si="23">X139-A139</f>
        <v>30</v>
      </c>
      <c r="Z139" s="5">
        <v>46207</v>
      </c>
      <c r="AA139" s="3"/>
      <c r="AB139" s="3"/>
      <c r="AD139" s="133" t="str">
        <f t="shared" si="20"/>
        <v>Closed In July</v>
      </c>
    </row>
    <row r="140" spans="1:30" hidden="1">
      <c r="A140" s="21">
        <v>46177</v>
      </c>
      <c r="B140" s="1">
        <v>2026</v>
      </c>
      <c r="C140" s="8" t="s">
        <v>21</v>
      </c>
      <c r="D140" s="8" t="s">
        <v>134</v>
      </c>
      <c r="E140" s="1"/>
      <c r="F140" s="1" t="s">
        <v>19</v>
      </c>
      <c r="G140" s="11" t="s">
        <v>135</v>
      </c>
      <c r="H140" s="8">
        <v>9578099893</v>
      </c>
      <c r="I140" s="10" t="s">
        <v>25</v>
      </c>
      <c r="J140" s="18" t="s">
        <v>136</v>
      </c>
      <c r="K140" s="8" t="s">
        <v>22</v>
      </c>
      <c r="L140" s="8" t="s">
        <v>23</v>
      </c>
      <c r="M140" s="2" t="s">
        <v>137</v>
      </c>
      <c r="N140" s="1" t="s">
        <v>138</v>
      </c>
      <c r="O140" s="11">
        <v>590</v>
      </c>
      <c r="P140" s="2" t="s">
        <v>298</v>
      </c>
      <c r="Q140" s="12" t="str">
        <f t="shared" ref="Q140:Q192" si="24">MID(P140,5,2)</f>
        <v>24</v>
      </c>
      <c r="R140" s="12" t="str">
        <f t="shared" ref="R140:R192" si="25">MID(P140,7,2)</f>
        <v>11</v>
      </c>
      <c r="S140" s="6" t="s">
        <v>140</v>
      </c>
      <c r="T140" s="1" t="s">
        <v>141</v>
      </c>
      <c r="U140" s="6" t="s">
        <v>142</v>
      </c>
      <c r="V140" s="6" t="s">
        <v>143</v>
      </c>
      <c r="W140" s="1" t="s">
        <v>133</v>
      </c>
      <c r="X140" s="5">
        <v>46207</v>
      </c>
      <c r="Y140" s="1">
        <f t="shared" ref="Y140:Y192" si="26">X140-A140</f>
        <v>30</v>
      </c>
      <c r="Z140" s="5">
        <v>46207</v>
      </c>
      <c r="AA140" s="3"/>
      <c r="AB140" s="3"/>
      <c r="AD140" s="133" t="str">
        <f t="shared" si="20"/>
        <v>Closed In July</v>
      </c>
    </row>
    <row r="141" spans="1:30" hidden="1">
      <c r="A141" s="21">
        <v>46177</v>
      </c>
      <c r="B141" s="1">
        <v>2026</v>
      </c>
      <c r="C141" s="8" t="s">
        <v>21</v>
      </c>
      <c r="D141" s="8" t="s">
        <v>134</v>
      </c>
      <c r="E141" s="1"/>
      <c r="F141" s="1" t="s">
        <v>19</v>
      </c>
      <c r="G141" s="11" t="s">
        <v>135</v>
      </c>
      <c r="H141" s="8">
        <v>9578099893</v>
      </c>
      <c r="I141" s="10" t="s">
        <v>25</v>
      </c>
      <c r="J141" s="18" t="s">
        <v>136</v>
      </c>
      <c r="K141" s="8" t="s">
        <v>22</v>
      </c>
      <c r="L141" s="8" t="s">
        <v>23</v>
      </c>
      <c r="M141" s="2" t="s">
        <v>146</v>
      </c>
      <c r="N141" s="1" t="s">
        <v>138</v>
      </c>
      <c r="O141" s="11">
        <v>590</v>
      </c>
      <c r="P141" s="2" t="s">
        <v>299</v>
      </c>
      <c r="Q141" s="12" t="str">
        <f t="shared" si="24"/>
        <v>24</v>
      </c>
      <c r="R141" s="12" t="str">
        <f t="shared" si="25"/>
        <v>10</v>
      </c>
      <c r="S141" s="6" t="s">
        <v>140</v>
      </c>
      <c r="T141" s="1" t="s">
        <v>141</v>
      </c>
      <c r="U141" s="1" t="s">
        <v>148</v>
      </c>
      <c r="V141" s="1" t="s">
        <v>143</v>
      </c>
      <c r="W141" s="1" t="s">
        <v>133</v>
      </c>
      <c r="X141" s="5">
        <v>46207</v>
      </c>
      <c r="Y141" s="1">
        <f t="shared" si="26"/>
        <v>30</v>
      </c>
      <c r="Z141" s="5">
        <v>46207</v>
      </c>
      <c r="AA141" s="3"/>
      <c r="AB141" s="3"/>
      <c r="AD141" s="133" t="str">
        <f t="shared" si="20"/>
        <v>Closed In July</v>
      </c>
    </row>
    <row r="142" spans="1:30" hidden="1">
      <c r="A142" s="21">
        <v>46177</v>
      </c>
      <c r="B142" s="1">
        <v>2026</v>
      </c>
      <c r="C142" s="8" t="s">
        <v>21</v>
      </c>
      <c r="D142" s="8" t="s">
        <v>134</v>
      </c>
      <c r="E142" s="1"/>
      <c r="F142" s="1" t="s">
        <v>19</v>
      </c>
      <c r="G142" s="11" t="s">
        <v>135</v>
      </c>
      <c r="H142" s="8">
        <v>9578099893</v>
      </c>
      <c r="I142" s="10" t="s">
        <v>25</v>
      </c>
      <c r="J142" s="18" t="s">
        <v>136</v>
      </c>
      <c r="K142" s="8" t="s">
        <v>22</v>
      </c>
      <c r="L142" s="8" t="s">
        <v>23</v>
      </c>
      <c r="M142" s="2" t="s">
        <v>146</v>
      </c>
      <c r="N142" s="1" t="s">
        <v>138</v>
      </c>
      <c r="O142" s="11">
        <v>590</v>
      </c>
      <c r="P142" s="2" t="s">
        <v>300</v>
      </c>
      <c r="Q142" s="12" t="str">
        <f t="shared" si="24"/>
        <v>24</v>
      </c>
      <c r="R142" s="12" t="str">
        <f t="shared" si="25"/>
        <v>10</v>
      </c>
      <c r="S142" s="6" t="s">
        <v>140</v>
      </c>
      <c r="T142" s="1" t="s">
        <v>141</v>
      </c>
      <c r="U142" s="1" t="s">
        <v>148</v>
      </c>
      <c r="V142" s="1" t="s">
        <v>143</v>
      </c>
      <c r="W142" s="1" t="s">
        <v>133</v>
      </c>
      <c r="X142" s="5">
        <v>46207</v>
      </c>
      <c r="Y142" s="1">
        <f t="shared" si="26"/>
        <v>30</v>
      </c>
      <c r="Z142" s="5">
        <v>46207</v>
      </c>
      <c r="AA142" s="3"/>
      <c r="AB142" s="3"/>
      <c r="AD142" s="133" t="str">
        <f t="shared" si="20"/>
        <v>Closed In July</v>
      </c>
    </row>
    <row r="143" spans="1:30" hidden="1">
      <c r="A143" s="21">
        <v>46177</v>
      </c>
      <c r="B143" s="1">
        <v>2026</v>
      </c>
      <c r="C143" s="8" t="s">
        <v>21</v>
      </c>
      <c r="D143" s="8" t="s">
        <v>134</v>
      </c>
      <c r="E143" s="1"/>
      <c r="F143" s="1" t="s">
        <v>19</v>
      </c>
      <c r="G143" s="11" t="s">
        <v>135</v>
      </c>
      <c r="H143" s="8">
        <v>9578099893</v>
      </c>
      <c r="I143" s="10" t="s">
        <v>25</v>
      </c>
      <c r="J143" s="18" t="s">
        <v>136</v>
      </c>
      <c r="K143" s="8" t="s">
        <v>22</v>
      </c>
      <c r="L143" s="8" t="s">
        <v>23</v>
      </c>
      <c r="M143" s="2" t="s">
        <v>146</v>
      </c>
      <c r="N143" s="1" t="s">
        <v>138</v>
      </c>
      <c r="O143" s="11">
        <v>590</v>
      </c>
      <c r="P143" s="2" t="s">
        <v>301</v>
      </c>
      <c r="Q143" s="12" t="str">
        <f t="shared" si="24"/>
        <v>24</v>
      </c>
      <c r="R143" s="12" t="str">
        <f t="shared" si="25"/>
        <v>10</v>
      </c>
      <c r="S143" s="6" t="s">
        <v>140</v>
      </c>
      <c r="T143" s="1" t="s">
        <v>141</v>
      </c>
      <c r="U143" s="1" t="s">
        <v>148</v>
      </c>
      <c r="V143" s="1" t="s">
        <v>143</v>
      </c>
      <c r="W143" s="1" t="s">
        <v>133</v>
      </c>
      <c r="X143" s="5">
        <v>46207</v>
      </c>
      <c r="Y143" s="1">
        <f t="shared" si="26"/>
        <v>30</v>
      </c>
      <c r="Z143" s="5">
        <v>46207</v>
      </c>
      <c r="AA143" s="3"/>
      <c r="AB143" s="3"/>
      <c r="AD143" s="133" t="str">
        <f t="shared" si="20"/>
        <v>Closed In July</v>
      </c>
    </row>
    <row r="144" spans="1:30" hidden="1">
      <c r="A144" s="21">
        <v>46177</v>
      </c>
      <c r="B144" s="1">
        <v>2026</v>
      </c>
      <c r="C144" s="8" t="s">
        <v>21</v>
      </c>
      <c r="D144" s="8" t="s">
        <v>134</v>
      </c>
      <c r="E144" s="1"/>
      <c r="F144" s="1" t="s">
        <v>19</v>
      </c>
      <c r="G144" s="11" t="s">
        <v>135</v>
      </c>
      <c r="H144" s="8">
        <v>9578099893</v>
      </c>
      <c r="I144" s="10" t="s">
        <v>25</v>
      </c>
      <c r="J144" s="18" t="s">
        <v>136</v>
      </c>
      <c r="K144" s="8" t="s">
        <v>22</v>
      </c>
      <c r="L144" s="8" t="s">
        <v>23</v>
      </c>
      <c r="M144" s="2" t="s">
        <v>137</v>
      </c>
      <c r="N144" s="1" t="s">
        <v>138</v>
      </c>
      <c r="O144" s="11">
        <v>590</v>
      </c>
      <c r="P144" s="2" t="s">
        <v>302</v>
      </c>
      <c r="Q144" s="12" t="str">
        <f t="shared" si="24"/>
        <v>24</v>
      </c>
      <c r="R144" s="12" t="str">
        <f t="shared" si="25"/>
        <v>11</v>
      </c>
      <c r="S144" s="6" t="s">
        <v>140</v>
      </c>
      <c r="T144" s="1" t="s">
        <v>141</v>
      </c>
      <c r="U144" s="6" t="s">
        <v>142</v>
      </c>
      <c r="V144" s="6" t="s">
        <v>143</v>
      </c>
      <c r="W144" s="1" t="s">
        <v>133</v>
      </c>
      <c r="X144" s="5">
        <v>46207</v>
      </c>
      <c r="Y144" s="1">
        <f t="shared" si="26"/>
        <v>30</v>
      </c>
      <c r="Z144" s="5">
        <v>46207</v>
      </c>
      <c r="AA144" s="3"/>
      <c r="AB144" s="3"/>
      <c r="AD144" s="133" t="str">
        <f t="shared" si="20"/>
        <v>Closed In July</v>
      </c>
    </row>
    <row r="145" spans="1:30" hidden="1">
      <c r="A145" s="21">
        <v>46177</v>
      </c>
      <c r="B145" s="1">
        <v>2026</v>
      </c>
      <c r="C145" s="8" t="s">
        <v>21</v>
      </c>
      <c r="D145" s="8" t="s">
        <v>134</v>
      </c>
      <c r="E145" s="1"/>
      <c r="F145" s="1" t="s">
        <v>19</v>
      </c>
      <c r="G145" s="11" t="s">
        <v>135</v>
      </c>
      <c r="H145" s="8">
        <v>9578099893</v>
      </c>
      <c r="I145" s="10" t="s">
        <v>25</v>
      </c>
      <c r="J145" s="18" t="s">
        <v>136</v>
      </c>
      <c r="K145" s="8" t="s">
        <v>22</v>
      </c>
      <c r="L145" s="8" t="s">
        <v>23</v>
      </c>
      <c r="M145" s="2" t="s">
        <v>137</v>
      </c>
      <c r="N145" s="1" t="s">
        <v>138</v>
      </c>
      <c r="O145" s="11">
        <v>590</v>
      </c>
      <c r="P145" s="2" t="s">
        <v>303</v>
      </c>
      <c r="Q145" s="12" t="str">
        <f t="shared" si="24"/>
        <v>24</v>
      </c>
      <c r="R145" s="12" t="str">
        <f t="shared" si="25"/>
        <v>11</v>
      </c>
      <c r="S145" s="6" t="s">
        <v>140</v>
      </c>
      <c r="T145" s="1" t="s">
        <v>141</v>
      </c>
      <c r="U145" s="6" t="s">
        <v>142</v>
      </c>
      <c r="V145" s="6" t="s">
        <v>143</v>
      </c>
      <c r="W145" s="1" t="s">
        <v>133</v>
      </c>
      <c r="X145" s="5">
        <v>46207</v>
      </c>
      <c r="Y145" s="1">
        <f t="shared" si="26"/>
        <v>30</v>
      </c>
      <c r="Z145" s="5">
        <v>46207</v>
      </c>
      <c r="AA145" s="3"/>
      <c r="AB145" s="3"/>
      <c r="AD145" s="133" t="str">
        <f t="shared" si="20"/>
        <v>Closed In July</v>
      </c>
    </row>
    <row r="146" spans="1:30" hidden="1">
      <c r="A146" s="21">
        <v>46177</v>
      </c>
      <c r="B146" s="1">
        <v>2026</v>
      </c>
      <c r="C146" s="8" t="s">
        <v>21</v>
      </c>
      <c r="D146" s="8" t="s">
        <v>134</v>
      </c>
      <c r="E146" s="1"/>
      <c r="F146" s="1" t="s">
        <v>19</v>
      </c>
      <c r="G146" s="11" t="s">
        <v>135</v>
      </c>
      <c r="H146" s="8">
        <v>9578099893</v>
      </c>
      <c r="I146" s="10" t="s">
        <v>25</v>
      </c>
      <c r="J146" s="18" t="s">
        <v>136</v>
      </c>
      <c r="K146" s="8" t="s">
        <v>22</v>
      </c>
      <c r="L146" s="8" t="s">
        <v>23</v>
      </c>
      <c r="M146" s="2" t="s">
        <v>137</v>
      </c>
      <c r="N146" s="1" t="s">
        <v>138</v>
      </c>
      <c r="O146" s="11">
        <v>590</v>
      </c>
      <c r="P146" s="2" t="s">
        <v>304</v>
      </c>
      <c r="Q146" s="12" t="str">
        <f t="shared" si="24"/>
        <v>24</v>
      </c>
      <c r="R146" s="12" t="str">
        <f t="shared" si="25"/>
        <v>11</v>
      </c>
      <c r="S146" s="6" t="s">
        <v>140</v>
      </c>
      <c r="T146" s="1" t="s">
        <v>141</v>
      </c>
      <c r="U146" s="6" t="s">
        <v>142</v>
      </c>
      <c r="V146" s="6" t="s">
        <v>143</v>
      </c>
      <c r="W146" s="1" t="s">
        <v>133</v>
      </c>
      <c r="X146" s="5">
        <v>46207</v>
      </c>
      <c r="Y146" s="1">
        <f t="shared" si="26"/>
        <v>30</v>
      </c>
      <c r="Z146" s="5">
        <v>46207</v>
      </c>
      <c r="AA146" s="3"/>
      <c r="AB146" s="3"/>
      <c r="AD146" s="133" t="str">
        <f t="shared" si="20"/>
        <v>Closed In July</v>
      </c>
    </row>
    <row r="147" spans="1:30" hidden="1">
      <c r="A147" s="21">
        <v>46177</v>
      </c>
      <c r="B147" s="1">
        <v>2026</v>
      </c>
      <c r="C147" s="8" t="s">
        <v>21</v>
      </c>
      <c r="D147" s="8" t="s">
        <v>134</v>
      </c>
      <c r="E147" s="1"/>
      <c r="F147" s="1" t="s">
        <v>19</v>
      </c>
      <c r="G147" s="11" t="s">
        <v>135</v>
      </c>
      <c r="H147" s="8">
        <v>9578099893</v>
      </c>
      <c r="I147" s="10" t="s">
        <v>25</v>
      </c>
      <c r="J147" s="18" t="s">
        <v>136</v>
      </c>
      <c r="K147" s="8" t="s">
        <v>22</v>
      </c>
      <c r="L147" s="8" t="s">
        <v>23</v>
      </c>
      <c r="M147" s="2" t="s">
        <v>146</v>
      </c>
      <c r="N147" s="1" t="s">
        <v>138</v>
      </c>
      <c r="O147" s="11">
        <v>590</v>
      </c>
      <c r="P147" s="2" t="s">
        <v>305</v>
      </c>
      <c r="Q147" s="12" t="str">
        <f t="shared" si="24"/>
        <v>24</v>
      </c>
      <c r="R147" s="12" t="str">
        <f t="shared" si="25"/>
        <v>11</v>
      </c>
      <c r="S147" s="6" t="s">
        <v>140</v>
      </c>
      <c r="T147" s="1" t="s">
        <v>141</v>
      </c>
      <c r="U147" s="1" t="s">
        <v>148</v>
      </c>
      <c r="V147" s="1" t="s">
        <v>143</v>
      </c>
      <c r="W147" s="1" t="s">
        <v>133</v>
      </c>
      <c r="X147" s="5">
        <v>46207</v>
      </c>
      <c r="Y147" s="1">
        <f t="shared" si="26"/>
        <v>30</v>
      </c>
      <c r="Z147" s="5">
        <v>46207</v>
      </c>
      <c r="AA147" s="3"/>
      <c r="AB147" s="3"/>
      <c r="AD147" s="133" t="str">
        <f t="shared" si="20"/>
        <v>Closed In July</v>
      </c>
    </row>
    <row r="148" spans="1:30" hidden="1">
      <c r="A148" s="21">
        <v>46177</v>
      </c>
      <c r="B148" s="1">
        <v>2026</v>
      </c>
      <c r="C148" s="8" t="s">
        <v>21</v>
      </c>
      <c r="D148" s="8" t="s">
        <v>134</v>
      </c>
      <c r="E148" s="1"/>
      <c r="F148" s="1" t="s">
        <v>19</v>
      </c>
      <c r="G148" s="11" t="s">
        <v>135</v>
      </c>
      <c r="H148" s="8">
        <v>9578099893</v>
      </c>
      <c r="I148" s="10" t="s">
        <v>25</v>
      </c>
      <c r="J148" s="18" t="s">
        <v>136</v>
      </c>
      <c r="K148" s="8" t="s">
        <v>22</v>
      </c>
      <c r="L148" s="8" t="s">
        <v>23</v>
      </c>
      <c r="M148" s="2" t="s">
        <v>137</v>
      </c>
      <c r="N148" s="1" t="s">
        <v>138</v>
      </c>
      <c r="O148" s="11">
        <v>590</v>
      </c>
      <c r="P148" s="2" t="s">
        <v>306</v>
      </c>
      <c r="Q148" s="12" t="str">
        <f t="shared" si="24"/>
        <v>24</v>
      </c>
      <c r="R148" s="12" t="str">
        <f t="shared" si="25"/>
        <v>11</v>
      </c>
      <c r="S148" s="6" t="s">
        <v>140</v>
      </c>
      <c r="T148" s="1" t="s">
        <v>141</v>
      </c>
      <c r="U148" s="6" t="s">
        <v>142</v>
      </c>
      <c r="V148" s="6" t="s">
        <v>143</v>
      </c>
      <c r="W148" s="1" t="s">
        <v>133</v>
      </c>
      <c r="X148" s="5">
        <v>46207</v>
      </c>
      <c r="Y148" s="1">
        <f t="shared" si="26"/>
        <v>30</v>
      </c>
      <c r="Z148" s="5">
        <v>46207</v>
      </c>
      <c r="AA148" s="3"/>
      <c r="AB148" s="3"/>
      <c r="AD148" s="133" t="str">
        <f t="shared" si="20"/>
        <v>Closed In July</v>
      </c>
    </row>
    <row r="149" spans="1:30" hidden="1">
      <c r="A149" s="21">
        <v>46177</v>
      </c>
      <c r="B149" s="1">
        <v>2026</v>
      </c>
      <c r="C149" s="8" t="s">
        <v>21</v>
      </c>
      <c r="D149" s="8" t="s">
        <v>134</v>
      </c>
      <c r="E149" s="1"/>
      <c r="F149" s="1" t="s">
        <v>19</v>
      </c>
      <c r="G149" s="11" t="s">
        <v>135</v>
      </c>
      <c r="H149" s="8">
        <v>9578099893</v>
      </c>
      <c r="I149" s="10" t="s">
        <v>25</v>
      </c>
      <c r="J149" s="18" t="s">
        <v>136</v>
      </c>
      <c r="K149" s="8" t="s">
        <v>22</v>
      </c>
      <c r="L149" s="8" t="s">
        <v>23</v>
      </c>
      <c r="M149" s="2" t="s">
        <v>146</v>
      </c>
      <c r="N149" s="1" t="s">
        <v>138</v>
      </c>
      <c r="O149" s="11">
        <v>590</v>
      </c>
      <c r="P149" s="2" t="s">
        <v>307</v>
      </c>
      <c r="Q149" s="12" t="str">
        <f t="shared" si="24"/>
        <v>24</v>
      </c>
      <c r="R149" s="12" t="str">
        <f t="shared" si="25"/>
        <v>11</v>
      </c>
      <c r="S149" s="6" t="s">
        <v>140</v>
      </c>
      <c r="T149" s="1" t="s">
        <v>141</v>
      </c>
      <c r="U149" s="1" t="s">
        <v>148</v>
      </c>
      <c r="V149" s="1" t="s">
        <v>143</v>
      </c>
      <c r="W149" s="1" t="s">
        <v>133</v>
      </c>
      <c r="X149" s="5">
        <v>46207</v>
      </c>
      <c r="Y149" s="1">
        <f t="shared" si="26"/>
        <v>30</v>
      </c>
      <c r="Z149" s="5">
        <v>46207</v>
      </c>
      <c r="AA149" s="3"/>
      <c r="AB149" s="3"/>
      <c r="AD149" s="133" t="str">
        <f t="shared" si="20"/>
        <v>Closed In July</v>
      </c>
    </row>
    <row r="150" spans="1:30" hidden="1">
      <c r="A150" s="21">
        <v>46177</v>
      </c>
      <c r="B150" s="1">
        <v>2026</v>
      </c>
      <c r="C150" s="8" t="s">
        <v>21</v>
      </c>
      <c r="D150" s="8" t="s">
        <v>134</v>
      </c>
      <c r="E150" s="1"/>
      <c r="F150" s="1" t="s">
        <v>19</v>
      </c>
      <c r="G150" s="11" t="s">
        <v>135</v>
      </c>
      <c r="H150" s="8">
        <v>9578099893</v>
      </c>
      <c r="I150" s="10" t="s">
        <v>25</v>
      </c>
      <c r="J150" s="18" t="s">
        <v>136</v>
      </c>
      <c r="K150" s="8" t="s">
        <v>22</v>
      </c>
      <c r="L150" s="8" t="s">
        <v>23</v>
      </c>
      <c r="M150" s="2" t="s">
        <v>308</v>
      </c>
      <c r="N150" s="1" t="s">
        <v>127</v>
      </c>
      <c r="O150" s="11">
        <v>590</v>
      </c>
      <c r="P150" s="2" t="s">
        <v>309</v>
      </c>
      <c r="Q150" s="12" t="str">
        <f t="shared" si="24"/>
        <v>24</v>
      </c>
      <c r="R150" s="12" t="str">
        <f t="shared" si="25"/>
        <v>11</v>
      </c>
      <c r="S150" s="6" t="s">
        <v>140</v>
      </c>
      <c r="T150" s="1" t="s">
        <v>141</v>
      </c>
      <c r="U150" s="6" t="s">
        <v>310</v>
      </c>
      <c r="V150" s="6" t="s">
        <v>132</v>
      </c>
      <c r="W150" s="1" t="s">
        <v>133</v>
      </c>
      <c r="X150" s="5">
        <v>46207</v>
      </c>
      <c r="Y150" s="1">
        <f t="shared" si="26"/>
        <v>30</v>
      </c>
      <c r="Z150" s="5">
        <v>46207</v>
      </c>
      <c r="AA150" s="3"/>
      <c r="AB150" s="3"/>
      <c r="AD150" s="133" t="str">
        <f t="shared" si="20"/>
        <v>Closed In July</v>
      </c>
    </row>
    <row r="151" spans="1:30" hidden="1">
      <c r="A151" s="21">
        <v>46177</v>
      </c>
      <c r="B151" s="1">
        <v>2026</v>
      </c>
      <c r="C151" s="8" t="s">
        <v>21</v>
      </c>
      <c r="D151" s="8" t="s">
        <v>134</v>
      </c>
      <c r="E151" s="1"/>
      <c r="F151" s="1" t="s">
        <v>19</v>
      </c>
      <c r="G151" s="11" t="s">
        <v>135</v>
      </c>
      <c r="H151" s="8">
        <v>9578099893</v>
      </c>
      <c r="I151" s="10" t="s">
        <v>25</v>
      </c>
      <c r="J151" s="18" t="s">
        <v>136</v>
      </c>
      <c r="K151" s="8" t="s">
        <v>22</v>
      </c>
      <c r="L151" s="8" t="s">
        <v>23</v>
      </c>
      <c r="M151" s="2" t="s">
        <v>311</v>
      </c>
      <c r="N151" s="6" t="s">
        <v>312</v>
      </c>
      <c r="O151" s="11">
        <v>590</v>
      </c>
      <c r="P151" s="2" t="s">
        <v>313</v>
      </c>
      <c r="Q151" s="12" t="str">
        <f t="shared" si="24"/>
        <v>24</v>
      </c>
      <c r="R151" s="12" t="str">
        <f t="shared" si="25"/>
        <v>11</v>
      </c>
      <c r="S151" s="6" t="s">
        <v>140</v>
      </c>
      <c r="T151" s="1" t="s">
        <v>141</v>
      </c>
      <c r="U151" s="6" t="s">
        <v>314</v>
      </c>
      <c r="V151" s="1" t="s">
        <v>258</v>
      </c>
      <c r="W151" s="1" t="s">
        <v>259</v>
      </c>
      <c r="X151" s="5">
        <v>46207</v>
      </c>
      <c r="Y151" s="1">
        <f t="shared" si="26"/>
        <v>30</v>
      </c>
      <c r="Z151" s="5">
        <v>46207</v>
      </c>
      <c r="AA151" s="3"/>
      <c r="AB151" s="3"/>
      <c r="AD151" s="133" t="str">
        <f t="shared" si="20"/>
        <v>Closed In July</v>
      </c>
    </row>
    <row r="152" spans="1:30" hidden="1">
      <c r="A152" s="21">
        <v>46177</v>
      </c>
      <c r="B152" s="1">
        <v>2026</v>
      </c>
      <c r="C152" s="8" t="s">
        <v>21</v>
      </c>
      <c r="D152" s="8" t="s">
        <v>134</v>
      </c>
      <c r="E152" s="1"/>
      <c r="F152" s="1" t="s">
        <v>19</v>
      </c>
      <c r="G152" s="11" t="s">
        <v>135</v>
      </c>
      <c r="H152" s="8">
        <v>9578099893</v>
      </c>
      <c r="I152" s="10" t="s">
        <v>25</v>
      </c>
      <c r="J152" s="18" t="s">
        <v>136</v>
      </c>
      <c r="K152" s="8" t="s">
        <v>22</v>
      </c>
      <c r="L152" s="8" t="s">
        <v>23</v>
      </c>
      <c r="M152" s="2" t="s">
        <v>137</v>
      </c>
      <c r="N152" s="1" t="s">
        <v>138</v>
      </c>
      <c r="O152" s="11">
        <v>590</v>
      </c>
      <c r="P152" s="2" t="s">
        <v>315</v>
      </c>
      <c r="Q152" s="12" t="str">
        <f t="shared" si="24"/>
        <v>24</v>
      </c>
      <c r="R152" s="12" t="str">
        <f t="shared" si="25"/>
        <v>11</v>
      </c>
      <c r="S152" s="6" t="s">
        <v>140</v>
      </c>
      <c r="T152" s="1" t="s">
        <v>141</v>
      </c>
      <c r="U152" s="6" t="s">
        <v>142</v>
      </c>
      <c r="V152" s="6" t="s">
        <v>143</v>
      </c>
      <c r="W152" s="1" t="s">
        <v>133</v>
      </c>
      <c r="X152" s="5">
        <v>46207</v>
      </c>
      <c r="Y152" s="1">
        <f t="shared" si="26"/>
        <v>30</v>
      </c>
      <c r="Z152" s="5">
        <v>46207</v>
      </c>
      <c r="AA152" s="3"/>
      <c r="AB152" s="3"/>
      <c r="AD152" s="133" t="str">
        <f t="shared" si="20"/>
        <v>Closed In July</v>
      </c>
    </row>
    <row r="153" spans="1:30" hidden="1">
      <c r="A153" s="21">
        <v>46177</v>
      </c>
      <c r="B153" s="1">
        <v>2026</v>
      </c>
      <c r="C153" s="8" t="s">
        <v>21</v>
      </c>
      <c r="D153" s="8" t="s">
        <v>134</v>
      </c>
      <c r="E153" s="1"/>
      <c r="F153" s="1" t="s">
        <v>19</v>
      </c>
      <c r="G153" s="11" t="s">
        <v>135</v>
      </c>
      <c r="H153" s="8">
        <v>9578099893</v>
      </c>
      <c r="I153" s="10" t="s">
        <v>25</v>
      </c>
      <c r="J153" s="18" t="s">
        <v>136</v>
      </c>
      <c r="K153" s="8" t="s">
        <v>22</v>
      </c>
      <c r="L153" s="8" t="s">
        <v>23</v>
      </c>
      <c r="M153" s="2" t="s">
        <v>146</v>
      </c>
      <c r="N153" s="1" t="s">
        <v>138</v>
      </c>
      <c r="O153" s="11">
        <v>590</v>
      </c>
      <c r="P153" s="2" t="s">
        <v>316</v>
      </c>
      <c r="Q153" s="12" t="str">
        <f t="shared" si="24"/>
        <v>24</v>
      </c>
      <c r="R153" s="12" t="str">
        <f t="shared" si="25"/>
        <v>11</v>
      </c>
      <c r="S153" s="6" t="s">
        <v>140</v>
      </c>
      <c r="T153" s="1" t="s">
        <v>141</v>
      </c>
      <c r="U153" s="1" t="s">
        <v>148</v>
      </c>
      <c r="V153" s="1" t="s">
        <v>143</v>
      </c>
      <c r="W153" s="1" t="s">
        <v>133</v>
      </c>
      <c r="X153" s="5">
        <v>46207</v>
      </c>
      <c r="Y153" s="1">
        <f t="shared" si="26"/>
        <v>30</v>
      </c>
      <c r="Z153" s="5">
        <v>46207</v>
      </c>
      <c r="AA153" s="3"/>
      <c r="AB153" s="3"/>
      <c r="AD153" s="133" t="str">
        <f t="shared" si="20"/>
        <v>Closed In July</v>
      </c>
    </row>
    <row r="154" spans="1:30" hidden="1">
      <c r="A154" s="21">
        <v>46177</v>
      </c>
      <c r="B154" s="1">
        <v>2026</v>
      </c>
      <c r="C154" s="8" t="s">
        <v>21</v>
      </c>
      <c r="D154" s="8" t="s">
        <v>134</v>
      </c>
      <c r="E154" s="1"/>
      <c r="F154" s="1" t="s">
        <v>19</v>
      </c>
      <c r="G154" s="11" t="s">
        <v>135</v>
      </c>
      <c r="H154" s="8">
        <v>9578099893</v>
      </c>
      <c r="I154" s="10" t="s">
        <v>25</v>
      </c>
      <c r="J154" s="18" t="s">
        <v>136</v>
      </c>
      <c r="K154" s="8" t="s">
        <v>22</v>
      </c>
      <c r="L154" s="8" t="s">
        <v>23</v>
      </c>
      <c r="M154" s="2" t="s">
        <v>137</v>
      </c>
      <c r="N154" s="1" t="s">
        <v>138</v>
      </c>
      <c r="O154" s="11">
        <v>590</v>
      </c>
      <c r="P154" s="2" t="s">
        <v>317</v>
      </c>
      <c r="Q154" s="12" t="str">
        <f t="shared" si="24"/>
        <v>24</v>
      </c>
      <c r="R154" s="12" t="str">
        <f t="shared" si="25"/>
        <v>11</v>
      </c>
      <c r="S154" s="6" t="s">
        <v>140</v>
      </c>
      <c r="T154" s="1" t="s">
        <v>141</v>
      </c>
      <c r="U154" s="6" t="s">
        <v>142</v>
      </c>
      <c r="V154" s="6" t="s">
        <v>143</v>
      </c>
      <c r="W154" s="1" t="s">
        <v>133</v>
      </c>
      <c r="X154" s="5">
        <v>46207</v>
      </c>
      <c r="Y154" s="1">
        <f t="shared" si="26"/>
        <v>30</v>
      </c>
      <c r="Z154" s="5">
        <v>46207</v>
      </c>
      <c r="AA154" s="3"/>
      <c r="AB154" s="3"/>
      <c r="AD154" s="133" t="str">
        <f t="shared" si="20"/>
        <v>Closed In July</v>
      </c>
    </row>
    <row r="155" spans="1:30" hidden="1">
      <c r="A155" s="21">
        <v>46177</v>
      </c>
      <c r="B155" s="1">
        <v>2026</v>
      </c>
      <c r="C155" s="8" t="s">
        <v>21</v>
      </c>
      <c r="D155" s="8" t="s">
        <v>134</v>
      </c>
      <c r="E155" s="1"/>
      <c r="F155" s="1" t="s">
        <v>19</v>
      </c>
      <c r="G155" s="11" t="s">
        <v>135</v>
      </c>
      <c r="H155" s="8">
        <v>9578099893</v>
      </c>
      <c r="I155" s="10" t="s">
        <v>25</v>
      </c>
      <c r="J155" s="18" t="s">
        <v>136</v>
      </c>
      <c r="K155" s="8" t="s">
        <v>22</v>
      </c>
      <c r="L155" s="8" t="s">
        <v>23</v>
      </c>
      <c r="M155" s="2" t="s">
        <v>137</v>
      </c>
      <c r="N155" s="1" t="s">
        <v>138</v>
      </c>
      <c r="O155" s="11">
        <v>590</v>
      </c>
      <c r="P155" s="2" t="s">
        <v>318</v>
      </c>
      <c r="Q155" s="12" t="str">
        <f t="shared" si="24"/>
        <v>24</v>
      </c>
      <c r="R155" s="12" t="str">
        <f t="shared" si="25"/>
        <v>11</v>
      </c>
      <c r="S155" s="6" t="s">
        <v>140</v>
      </c>
      <c r="T155" s="1" t="s">
        <v>141</v>
      </c>
      <c r="U155" s="6" t="s">
        <v>142</v>
      </c>
      <c r="V155" s="6" t="s">
        <v>143</v>
      </c>
      <c r="W155" s="1" t="s">
        <v>133</v>
      </c>
      <c r="X155" s="5">
        <v>46207</v>
      </c>
      <c r="Y155" s="1">
        <f t="shared" si="26"/>
        <v>30</v>
      </c>
      <c r="Z155" s="5">
        <v>46207</v>
      </c>
      <c r="AA155" s="3"/>
      <c r="AB155" s="3"/>
      <c r="AD155" s="133" t="str">
        <f t="shared" si="20"/>
        <v>Closed In July</v>
      </c>
    </row>
    <row r="156" spans="1:30" hidden="1">
      <c r="A156" s="21">
        <v>46177</v>
      </c>
      <c r="B156" s="1">
        <v>2026</v>
      </c>
      <c r="C156" s="8" t="s">
        <v>21</v>
      </c>
      <c r="D156" s="8" t="s">
        <v>134</v>
      </c>
      <c r="E156" s="1"/>
      <c r="F156" s="1" t="s">
        <v>19</v>
      </c>
      <c r="G156" s="11" t="s">
        <v>135</v>
      </c>
      <c r="H156" s="8">
        <v>9578099893</v>
      </c>
      <c r="I156" s="10" t="s">
        <v>25</v>
      </c>
      <c r="J156" s="18" t="s">
        <v>136</v>
      </c>
      <c r="K156" s="8" t="s">
        <v>22</v>
      </c>
      <c r="L156" s="8" t="s">
        <v>23</v>
      </c>
      <c r="M156" s="2" t="s">
        <v>137</v>
      </c>
      <c r="N156" s="1" t="s">
        <v>138</v>
      </c>
      <c r="O156" s="11">
        <v>590</v>
      </c>
      <c r="P156" s="2" t="s">
        <v>319</v>
      </c>
      <c r="Q156" s="12" t="str">
        <f t="shared" si="24"/>
        <v>24</v>
      </c>
      <c r="R156" s="12" t="str">
        <f t="shared" si="25"/>
        <v>11</v>
      </c>
      <c r="S156" s="6" t="s">
        <v>140</v>
      </c>
      <c r="T156" s="1" t="s">
        <v>141</v>
      </c>
      <c r="U156" s="6" t="s">
        <v>142</v>
      </c>
      <c r="V156" s="6" t="s">
        <v>143</v>
      </c>
      <c r="W156" s="1" t="s">
        <v>133</v>
      </c>
      <c r="X156" s="5">
        <v>46207</v>
      </c>
      <c r="Y156" s="1">
        <f t="shared" si="26"/>
        <v>30</v>
      </c>
      <c r="Z156" s="5">
        <v>46207</v>
      </c>
      <c r="AA156" s="3"/>
      <c r="AB156" s="3"/>
      <c r="AD156" s="133" t="str">
        <f t="shared" si="20"/>
        <v>Closed In July</v>
      </c>
    </row>
    <row r="157" spans="1:30" hidden="1">
      <c r="A157" s="21">
        <v>46177</v>
      </c>
      <c r="B157" s="1">
        <v>2026</v>
      </c>
      <c r="C157" s="8" t="s">
        <v>21</v>
      </c>
      <c r="D157" s="8" t="s">
        <v>134</v>
      </c>
      <c r="E157" s="1"/>
      <c r="F157" s="1" t="s">
        <v>19</v>
      </c>
      <c r="G157" s="11" t="s">
        <v>135</v>
      </c>
      <c r="H157" s="8">
        <v>9578099893</v>
      </c>
      <c r="I157" s="10" t="s">
        <v>25</v>
      </c>
      <c r="J157" s="18" t="s">
        <v>136</v>
      </c>
      <c r="K157" s="8" t="s">
        <v>22</v>
      </c>
      <c r="L157" s="8" t="s">
        <v>23</v>
      </c>
      <c r="M157" s="2" t="s">
        <v>137</v>
      </c>
      <c r="N157" s="1" t="s">
        <v>138</v>
      </c>
      <c r="O157" s="11">
        <v>590</v>
      </c>
      <c r="P157" s="2" t="s">
        <v>320</v>
      </c>
      <c r="Q157" s="12" t="str">
        <f t="shared" si="24"/>
        <v>24</v>
      </c>
      <c r="R157" s="12" t="str">
        <f t="shared" si="25"/>
        <v>11</v>
      </c>
      <c r="S157" s="6" t="s">
        <v>140</v>
      </c>
      <c r="T157" s="1" t="s">
        <v>141</v>
      </c>
      <c r="U157" s="6" t="s">
        <v>142</v>
      </c>
      <c r="V157" s="6" t="s">
        <v>143</v>
      </c>
      <c r="W157" s="1" t="s">
        <v>133</v>
      </c>
      <c r="X157" s="5">
        <v>46207</v>
      </c>
      <c r="Y157" s="1">
        <f t="shared" si="26"/>
        <v>30</v>
      </c>
      <c r="Z157" s="5">
        <v>46207</v>
      </c>
      <c r="AA157" s="3"/>
      <c r="AB157" s="3"/>
      <c r="AD157" s="133" t="str">
        <f t="shared" si="20"/>
        <v>Closed In July</v>
      </c>
    </row>
    <row r="158" spans="1:30" hidden="1">
      <c r="A158" s="21">
        <v>46177</v>
      </c>
      <c r="B158" s="1">
        <v>2026</v>
      </c>
      <c r="C158" s="8" t="s">
        <v>21</v>
      </c>
      <c r="D158" s="8" t="s">
        <v>134</v>
      </c>
      <c r="E158" s="1"/>
      <c r="F158" s="1" t="s">
        <v>19</v>
      </c>
      <c r="G158" s="11" t="s">
        <v>135</v>
      </c>
      <c r="H158" s="8">
        <v>9578099893</v>
      </c>
      <c r="I158" s="10" t="s">
        <v>25</v>
      </c>
      <c r="J158" s="18" t="s">
        <v>136</v>
      </c>
      <c r="K158" s="8" t="s">
        <v>22</v>
      </c>
      <c r="L158" s="8" t="s">
        <v>23</v>
      </c>
      <c r="M158" s="2" t="s">
        <v>137</v>
      </c>
      <c r="N158" s="1" t="s">
        <v>138</v>
      </c>
      <c r="O158" s="11">
        <v>590</v>
      </c>
      <c r="P158" s="2" t="s">
        <v>321</v>
      </c>
      <c r="Q158" s="12" t="str">
        <f t="shared" si="24"/>
        <v>24</v>
      </c>
      <c r="R158" s="12" t="str">
        <f t="shared" si="25"/>
        <v>11</v>
      </c>
      <c r="S158" s="6" t="s">
        <v>140</v>
      </c>
      <c r="T158" s="1" t="s">
        <v>141</v>
      </c>
      <c r="U158" s="6" t="s">
        <v>142</v>
      </c>
      <c r="V158" s="6" t="s">
        <v>143</v>
      </c>
      <c r="W158" s="1" t="s">
        <v>133</v>
      </c>
      <c r="X158" s="5">
        <v>46207</v>
      </c>
      <c r="Y158" s="1">
        <f t="shared" si="26"/>
        <v>30</v>
      </c>
      <c r="Z158" s="5">
        <v>46207</v>
      </c>
      <c r="AA158" s="3"/>
      <c r="AB158" s="3"/>
      <c r="AD158" s="133" t="str">
        <f t="shared" si="20"/>
        <v>Closed In July</v>
      </c>
    </row>
    <row r="159" spans="1:30" hidden="1">
      <c r="A159" s="21">
        <v>46177</v>
      </c>
      <c r="B159" s="1">
        <v>2026</v>
      </c>
      <c r="C159" s="8" t="s">
        <v>21</v>
      </c>
      <c r="D159" s="8" t="s">
        <v>134</v>
      </c>
      <c r="E159" s="1"/>
      <c r="F159" s="1" t="s">
        <v>19</v>
      </c>
      <c r="G159" s="11" t="s">
        <v>135</v>
      </c>
      <c r="H159" s="8">
        <v>9578099893</v>
      </c>
      <c r="I159" s="10" t="s">
        <v>25</v>
      </c>
      <c r="J159" s="18" t="s">
        <v>136</v>
      </c>
      <c r="K159" s="8" t="s">
        <v>22</v>
      </c>
      <c r="L159" s="8" t="s">
        <v>23</v>
      </c>
      <c r="M159" s="2" t="s">
        <v>137</v>
      </c>
      <c r="N159" s="1" t="s">
        <v>138</v>
      </c>
      <c r="O159" s="11">
        <v>590</v>
      </c>
      <c r="P159" s="2" t="s">
        <v>322</v>
      </c>
      <c r="Q159" s="12" t="str">
        <f t="shared" si="24"/>
        <v>24</v>
      </c>
      <c r="R159" s="12" t="str">
        <f t="shared" si="25"/>
        <v>11</v>
      </c>
      <c r="S159" s="6" t="s">
        <v>140</v>
      </c>
      <c r="T159" s="1" t="s">
        <v>141</v>
      </c>
      <c r="U159" s="6" t="s">
        <v>142</v>
      </c>
      <c r="V159" s="6" t="s">
        <v>143</v>
      </c>
      <c r="W159" s="1" t="s">
        <v>133</v>
      </c>
      <c r="X159" s="5">
        <v>46207</v>
      </c>
      <c r="Y159" s="1">
        <f t="shared" si="26"/>
        <v>30</v>
      </c>
      <c r="Z159" s="5">
        <v>46207</v>
      </c>
      <c r="AA159" s="3"/>
      <c r="AB159" s="3"/>
      <c r="AD159" s="133" t="str">
        <f t="shared" si="20"/>
        <v>Closed In July</v>
      </c>
    </row>
    <row r="160" spans="1:30" hidden="1">
      <c r="A160" s="21">
        <v>46177</v>
      </c>
      <c r="B160" s="1">
        <v>2026</v>
      </c>
      <c r="C160" s="8" t="s">
        <v>21</v>
      </c>
      <c r="D160" s="8" t="s">
        <v>134</v>
      </c>
      <c r="E160" s="1"/>
      <c r="F160" s="1" t="s">
        <v>19</v>
      </c>
      <c r="G160" s="11" t="s">
        <v>135</v>
      </c>
      <c r="H160" s="8">
        <v>9578099893</v>
      </c>
      <c r="I160" s="10" t="s">
        <v>25</v>
      </c>
      <c r="J160" s="18" t="s">
        <v>136</v>
      </c>
      <c r="K160" s="8" t="s">
        <v>22</v>
      </c>
      <c r="L160" s="8" t="s">
        <v>23</v>
      </c>
      <c r="M160" s="2" t="s">
        <v>146</v>
      </c>
      <c r="N160" s="1" t="s">
        <v>138</v>
      </c>
      <c r="O160" s="11">
        <v>590</v>
      </c>
      <c r="P160" s="2" t="s">
        <v>323</v>
      </c>
      <c r="Q160" s="12" t="str">
        <f t="shared" si="24"/>
        <v>24</v>
      </c>
      <c r="R160" s="12" t="str">
        <f t="shared" si="25"/>
        <v>11</v>
      </c>
      <c r="S160" s="6" t="s">
        <v>140</v>
      </c>
      <c r="T160" s="1" t="s">
        <v>141</v>
      </c>
      <c r="U160" s="1" t="s">
        <v>148</v>
      </c>
      <c r="V160" s="1" t="s">
        <v>143</v>
      </c>
      <c r="W160" s="1" t="s">
        <v>133</v>
      </c>
      <c r="X160" s="5">
        <v>46207</v>
      </c>
      <c r="Y160" s="1">
        <f t="shared" si="26"/>
        <v>30</v>
      </c>
      <c r="Z160" s="5">
        <v>46207</v>
      </c>
      <c r="AA160" s="3"/>
      <c r="AB160" s="3"/>
      <c r="AD160" s="133" t="str">
        <f t="shared" si="20"/>
        <v>Closed In July</v>
      </c>
    </row>
    <row r="161" spans="1:30" hidden="1">
      <c r="A161" s="21">
        <v>46177</v>
      </c>
      <c r="B161" s="1">
        <v>2026</v>
      </c>
      <c r="C161" s="8" t="s">
        <v>21</v>
      </c>
      <c r="D161" s="8" t="s">
        <v>134</v>
      </c>
      <c r="E161" s="1"/>
      <c r="F161" s="1" t="s">
        <v>19</v>
      </c>
      <c r="G161" s="11" t="s">
        <v>135</v>
      </c>
      <c r="H161" s="8">
        <v>9578099893</v>
      </c>
      <c r="I161" s="10" t="s">
        <v>25</v>
      </c>
      <c r="J161" s="18" t="s">
        <v>136</v>
      </c>
      <c r="K161" s="8" t="s">
        <v>22</v>
      </c>
      <c r="L161" s="8" t="s">
        <v>23</v>
      </c>
      <c r="M161" s="2" t="s">
        <v>137</v>
      </c>
      <c r="N161" s="1" t="s">
        <v>138</v>
      </c>
      <c r="O161" s="11">
        <v>590</v>
      </c>
      <c r="P161" s="2" t="s">
        <v>324</v>
      </c>
      <c r="Q161" s="12" t="str">
        <f t="shared" si="24"/>
        <v>24</v>
      </c>
      <c r="R161" s="12" t="str">
        <f t="shared" si="25"/>
        <v>11</v>
      </c>
      <c r="S161" s="6" t="s">
        <v>140</v>
      </c>
      <c r="T161" s="1" t="s">
        <v>141</v>
      </c>
      <c r="U161" s="6" t="s">
        <v>142</v>
      </c>
      <c r="V161" s="6" t="s">
        <v>143</v>
      </c>
      <c r="W161" s="1" t="s">
        <v>133</v>
      </c>
      <c r="X161" s="5">
        <v>46207</v>
      </c>
      <c r="Y161" s="1">
        <f t="shared" si="26"/>
        <v>30</v>
      </c>
      <c r="Z161" s="5">
        <v>46207</v>
      </c>
      <c r="AA161" s="3"/>
      <c r="AB161" s="3"/>
      <c r="AD161" s="133" t="str">
        <f t="shared" si="20"/>
        <v>Closed In July</v>
      </c>
    </row>
    <row r="162" spans="1:30" hidden="1">
      <c r="A162" s="21">
        <v>46177</v>
      </c>
      <c r="B162" s="1">
        <v>2026</v>
      </c>
      <c r="C162" s="8" t="s">
        <v>21</v>
      </c>
      <c r="D162" s="8" t="s">
        <v>134</v>
      </c>
      <c r="E162" s="1"/>
      <c r="F162" s="1" t="s">
        <v>19</v>
      </c>
      <c r="G162" s="11" t="s">
        <v>135</v>
      </c>
      <c r="H162" s="8">
        <v>9578099893</v>
      </c>
      <c r="I162" s="10" t="s">
        <v>25</v>
      </c>
      <c r="J162" s="18" t="s">
        <v>136</v>
      </c>
      <c r="K162" s="8" t="s">
        <v>22</v>
      </c>
      <c r="L162" s="8" t="s">
        <v>23</v>
      </c>
      <c r="M162" s="2" t="s">
        <v>146</v>
      </c>
      <c r="N162" s="1" t="s">
        <v>138</v>
      </c>
      <c r="O162" s="11">
        <v>590</v>
      </c>
      <c r="P162" s="2" t="s">
        <v>325</v>
      </c>
      <c r="Q162" s="12" t="str">
        <f t="shared" si="24"/>
        <v>24</v>
      </c>
      <c r="R162" s="12" t="str">
        <f t="shared" si="25"/>
        <v>11</v>
      </c>
      <c r="S162" s="6" t="s">
        <v>140</v>
      </c>
      <c r="T162" s="1" t="s">
        <v>141</v>
      </c>
      <c r="U162" s="1" t="s">
        <v>148</v>
      </c>
      <c r="V162" s="1" t="s">
        <v>143</v>
      </c>
      <c r="W162" s="1" t="s">
        <v>133</v>
      </c>
      <c r="X162" s="5">
        <v>46207</v>
      </c>
      <c r="Y162" s="1">
        <f t="shared" si="26"/>
        <v>30</v>
      </c>
      <c r="Z162" s="5">
        <v>46207</v>
      </c>
      <c r="AA162" s="3"/>
      <c r="AB162" s="3"/>
      <c r="AD162" s="133" t="str">
        <f t="shared" si="20"/>
        <v>Closed In July</v>
      </c>
    </row>
    <row r="163" spans="1:30" hidden="1">
      <c r="A163" s="21">
        <v>46177</v>
      </c>
      <c r="B163" s="1">
        <v>2026</v>
      </c>
      <c r="C163" s="8" t="s">
        <v>21</v>
      </c>
      <c r="D163" s="8" t="s">
        <v>134</v>
      </c>
      <c r="E163" s="1"/>
      <c r="F163" s="1" t="s">
        <v>19</v>
      </c>
      <c r="G163" s="11" t="s">
        <v>135</v>
      </c>
      <c r="H163" s="8">
        <v>9578099893</v>
      </c>
      <c r="I163" s="10" t="s">
        <v>25</v>
      </c>
      <c r="J163" s="18" t="s">
        <v>136</v>
      </c>
      <c r="K163" s="8" t="s">
        <v>22</v>
      </c>
      <c r="L163" s="8" t="s">
        <v>23</v>
      </c>
      <c r="M163" s="2" t="s">
        <v>146</v>
      </c>
      <c r="N163" s="1" t="s">
        <v>138</v>
      </c>
      <c r="O163" s="11">
        <v>590</v>
      </c>
      <c r="P163" s="2" t="s">
        <v>326</v>
      </c>
      <c r="Q163" s="12" t="str">
        <f t="shared" si="24"/>
        <v>24</v>
      </c>
      <c r="R163" s="12" t="str">
        <f t="shared" si="25"/>
        <v>11</v>
      </c>
      <c r="S163" s="6" t="s">
        <v>140</v>
      </c>
      <c r="T163" s="1" t="s">
        <v>141</v>
      </c>
      <c r="U163" s="1" t="s">
        <v>148</v>
      </c>
      <c r="V163" s="1" t="s">
        <v>143</v>
      </c>
      <c r="W163" s="1" t="s">
        <v>133</v>
      </c>
      <c r="X163" s="5">
        <v>46207</v>
      </c>
      <c r="Y163" s="1">
        <f t="shared" si="26"/>
        <v>30</v>
      </c>
      <c r="Z163" s="5">
        <v>46207</v>
      </c>
      <c r="AA163" s="3"/>
      <c r="AB163" s="3"/>
      <c r="AD163" s="133" t="str">
        <f t="shared" si="20"/>
        <v>Closed In July</v>
      </c>
    </row>
    <row r="164" spans="1:30" hidden="1">
      <c r="A164" s="21">
        <v>46177</v>
      </c>
      <c r="B164" s="1">
        <v>2026</v>
      </c>
      <c r="C164" s="8" t="s">
        <v>21</v>
      </c>
      <c r="D164" s="8" t="s">
        <v>134</v>
      </c>
      <c r="E164" s="1"/>
      <c r="F164" s="1" t="s">
        <v>19</v>
      </c>
      <c r="G164" s="11" t="s">
        <v>135</v>
      </c>
      <c r="H164" s="8">
        <v>9578099893</v>
      </c>
      <c r="I164" s="10" t="s">
        <v>25</v>
      </c>
      <c r="J164" s="18" t="s">
        <v>136</v>
      </c>
      <c r="K164" s="8" t="s">
        <v>22</v>
      </c>
      <c r="L164" s="8" t="s">
        <v>23</v>
      </c>
      <c r="M164" s="2" t="s">
        <v>137</v>
      </c>
      <c r="N164" s="1" t="s">
        <v>138</v>
      </c>
      <c r="O164" s="11">
        <v>590</v>
      </c>
      <c r="P164" s="2" t="s">
        <v>327</v>
      </c>
      <c r="Q164" s="12" t="str">
        <f t="shared" si="24"/>
        <v>24</v>
      </c>
      <c r="R164" s="12" t="str">
        <f t="shared" si="25"/>
        <v>11</v>
      </c>
      <c r="S164" s="6" t="s">
        <v>140</v>
      </c>
      <c r="T164" s="1" t="s">
        <v>141</v>
      </c>
      <c r="U164" s="6" t="s">
        <v>142</v>
      </c>
      <c r="V164" s="6" t="s">
        <v>143</v>
      </c>
      <c r="W164" s="1" t="s">
        <v>133</v>
      </c>
      <c r="X164" s="5">
        <v>46207</v>
      </c>
      <c r="Y164" s="1">
        <f t="shared" si="26"/>
        <v>30</v>
      </c>
      <c r="Z164" s="5">
        <v>46207</v>
      </c>
      <c r="AA164" s="3"/>
      <c r="AB164" s="3"/>
      <c r="AD164" s="133" t="str">
        <f t="shared" si="20"/>
        <v>Closed In July</v>
      </c>
    </row>
    <row r="165" spans="1:30" hidden="1">
      <c r="A165" s="21">
        <v>46177</v>
      </c>
      <c r="B165" s="1">
        <v>2026</v>
      </c>
      <c r="C165" s="8" t="s">
        <v>21</v>
      </c>
      <c r="D165" s="8" t="s">
        <v>134</v>
      </c>
      <c r="E165" s="1"/>
      <c r="F165" s="1" t="s">
        <v>19</v>
      </c>
      <c r="G165" s="11" t="s">
        <v>135</v>
      </c>
      <c r="H165" s="8">
        <v>9578099893</v>
      </c>
      <c r="I165" s="10" t="s">
        <v>25</v>
      </c>
      <c r="J165" s="18" t="s">
        <v>136</v>
      </c>
      <c r="K165" s="8" t="s">
        <v>22</v>
      </c>
      <c r="L165" s="8" t="s">
        <v>23</v>
      </c>
      <c r="M165" s="2" t="s">
        <v>152</v>
      </c>
      <c r="N165" s="1" t="s">
        <v>138</v>
      </c>
      <c r="O165" s="11">
        <v>590</v>
      </c>
      <c r="P165" s="2" t="s">
        <v>328</v>
      </c>
      <c r="Q165" s="12" t="str">
        <f t="shared" si="24"/>
        <v>24</v>
      </c>
      <c r="R165" s="12" t="str">
        <f t="shared" si="25"/>
        <v>11</v>
      </c>
      <c r="S165" s="6" t="s">
        <v>140</v>
      </c>
      <c r="T165" s="1" t="s">
        <v>141</v>
      </c>
      <c r="U165" s="1" t="s">
        <v>154</v>
      </c>
      <c r="V165" s="1" t="s">
        <v>143</v>
      </c>
      <c r="W165" s="1" t="s">
        <v>133</v>
      </c>
      <c r="X165" s="5">
        <v>46207</v>
      </c>
      <c r="Y165" s="1">
        <f t="shared" si="26"/>
        <v>30</v>
      </c>
      <c r="Z165" s="5">
        <v>46207</v>
      </c>
      <c r="AA165" s="3"/>
      <c r="AB165" s="3"/>
      <c r="AD165" s="133" t="str">
        <f t="shared" si="20"/>
        <v>Closed In July</v>
      </c>
    </row>
    <row r="166" spans="1:30" hidden="1">
      <c r="A166" s="21">
        <v>46177</v>
      </c>
      <c r="B166" s="1">
        <v>2026</v>
      </c>
      <c r="C166" s="8" t="s">
        <v>21</v>
      </c>
      <c r="D166" s="8" t="s">
        <v>134</v>
      </c>
      <c r="E166" s="1"/>
      <c r="F166" s="1" t="s">
        <v>19</v>
      </c>
      <c r="G166" s="11" t="s">
        <v>135</v>
      </c>
      <c r="H166" s="8">
        <v>9578099893</v>
      </c>
      <c r="I166" s="10" t="s">
        <v>25</v>
      </c>
      <c r="J166" s="18" t="s">
        <v>136</v>
      </c>
      <c r="K166" s="8" t="s">
        <v>22</v>
      </c>
      <c r="L166" s="8" t="s">
        <v>23</v>
      </c>
      <c r="M166" s="2" t="s">
        <v>146</v>
      </c>
      <c r="N166" s="1" t="s">
        <v>138</v>
      </c>
      <c r="O166" s="11">
        <v>590</v>
      </c>
      <c r="P166" s="2" t="s">
        <v>329</v>
      </c>
      <c r="Q166" s="12" t="str">
        <f t="shared" si="24"/>
        <v>24</v>
      </c>
      <c r="R166" s="12" t="str">
        <f t="shared" si="25"/>
        <v>11</v>
      </c>
      <c r="S166" s="6" t="s">
        <v>140</v>
      </c>
      <c r="T166" s="1" t="s">
        <v>141</v>
      </c>
      <c r="U166" s="1" t="s">
        <v>148</v>
      </c>
      <c r="V166" s="1" t="s">
        <v>143</v>
      </c>
      <c r="W166" s="1" t="s">
        <v>133</v>
      </c>
      <c r="X166" s="5">
        <v>46207</v>
      </c>
      <c r="Y166" s="1">
        <f t="shared" si="26"/>
        <v>30</v>
      </c>
      <c r="Z166" s="5">
        <v>46207</v>
      </c>
      <c r="AA166" s="3"/>
      <c r="AB166" s="3"/>
      <c r="AD166" s="133" t="str">
        <f t="shared" si="20"/>
        <v>Closed In July</v>
      </c>
    </row>
    <row r="167" spans="1:30" hidden="1">
      <c r="A167" s="21">
        <v>46177</v>
      </c>
      <c r="B167" s="1">
        <v>2026</v>
      </c>
      <c r="C167" s="8" t="s">
        <v>21</v>
      </c>
      <c r="D167" s="8" t="s">
        <v>134</v>
      </c>
      <c r="E167" s="1"/>
      <c r="F167" s="1" t="s">
        <v>19</v>
      </c>
      <c r="G167" s="11" t="s">
        <v>135</v>
      </c>
      <c r="H167" s="8">
        <v>9578099893</v>
      </c>
      <c r="I167" s="10" t="s">
        <v>25</v>
      </c>
      <c r="J167" s="18" t="s">
        <v>136</v>
      </c>
      <c r="K167" s="8" t="s">
        <v>22</v>
      </c>
      <c r="L167" s="8" t="s">
        <v>23</v>
      </c>
      <c r="M167" s="2" t="s">
        <v>146</v>
      </c>
      <c r="N167" s="1" t="s">
        <v>138</v>
      </c>
      <c r="O167" s="11">
        <v>590</v>
      </c>
      <c r="P167" s="2" t="s">
        <v>330</v>
      </c>
      <c r="Q167" s="12" t="str">
        <f t="shared" si="24"/>
        <v>24</v>
      </c>
      <c r="R167" s="12" t="str">
        <f t="shared" si="25"/>
        <v>11</v>
      </c>
      <c r="S167" s="6" t="s">
        <v>140</v>
      </c>
      <c r="T167" s="1" t="s">
        <v>141</v>
      </c>
      <c r="U167" s="1" t="s">
        <v>148</v>
      </c>
      <c r="V167" s="1" t="s">
        <v>143</v>
      </c>
      <c r="W167" s="1" t="s">
        <v>133</v>
      </c>
      <c r="X167" s="5">
        <v>46207</v>
      </c>
      <c r="Y167" s="1">
        <f t="shared" si="26"/>
        <v>30</v>
      </c>
      <c r="Z167" s="5">
        <v>46207</v>
      </c>
      <c r="AA167" s="3"/>
      <c r="AB167" s="3"/>
      <c r="AD167" s="133" t="str">
        <f t="shared" si="20"/>
        <v>Closed In July</v>
      </c>
    </row>
    <row r="168" spans="1:30" hidden="1">
      <c r="A168" s="21">
        <v>46177</v>
      </c>
      <c r="B168" s="1">
        <v>2026</v>
      </c>
      <c r="C168" s="8" t="s">
        <v>21</v>
      </c>
      <c r="D168" s="8" t="s">
        <v>134</v>
      </c>
      <c r="E168" s="1"/>
      <c r="F168" s="1" t="s">
        <v>19</v>
      </c>
      <c r="G168" s="11" t="s">
        <v>135</v>
      </c>
      <c r="H168" s="8">
        <v>9578099893</v>
      </c>
      <c r="I168" s="10" t="s">
        <v>25</v>
      </c>
      <c r="J168" s="18" t="s">
        <v>136</v>
      </c>
      <c r="K168" s="8" t="s">
        <v>22</v>
      </c>
      <c r="L168" s="8" t="s">
        <v>23</v>
      </c>
      <c r="M168" s="2" t="s">
        <v>146</v>
      </c>
      <c r="N168" s="1" t="s">
        <v>138</v>
      </c>
      <c r="O168" s="11">
        <v>590</v>
      </c>
      <c r="P168" s="2" t="s">
        <v>331</v>
      </c>
      <c r="Q168" s="12" t="str">
        <f t="shared" si="24"/>
        <v>24</v>
      </c>
      <c r="R168" s="12" t="str">
        <f t="shared" si="25"/>
        <v>11</v>
      </c>
      <c r="S168" s="6" t="s">
        <v>140</v>
      </c>
      <c r="T168" s="1" t="s">
        <v>141</v>
      </c>
      <c r="U168" s="1" t="s">
        <v>148</v>
      </c>
      <c r="V168" s="1" t="s">
        <v>143</v>
      </c>
      <c r="W168" s="1" t="s">
        <v>133</v>
      </c>
      <c r="X168" s="5">
        <v>46207</v>
      </c>
      <c r="Y168" s="1">
        <f t="shared" si="26"/>
        <v>30</v>
      </c>
      <c r="Z168" s="5">
        <v>46207</v>
      </c>
      <c r="AA168" s="3"/>
      <c r="AB168" s="3"/>
      <c r="AD168" s="133" t="str">
        <f t="shared" si="20"/>
        <v>Closed In July</v>
      </c>
    </row>
    <row r="169" spans="1:30" hidden="1">
      <c r="A169" s="21">
        <v>46177</v>
      </c>
      <c r="B169" s="1">
        <v>2026</v>
      </c>
      <c r="C169" s="8" t="s">
        <v>21</v>
      </c>
      <c r="D169" s="8" t="s">
        <v>134</v>
      </c>
      <c r="E169" s="1"/>
      <c r="F169" s="1" t="s">
        <v>19</v>
      </c>
      <c r="G169" s="11" t="s">
        <v>135</v>
      </c>
      <c r="H169" s="8">
        <v>9578099893</v>
      </c>
      <c r="I169" s="10" t="s">
        <v>25</v>
      </c>
      <c r="J169" s="18" t="s">
        <v>136</v>
      </c>
      <c r="K169" s="8" t="s">
        <v>22</v>
      </c>
      <c r="L169" s="8" t="s">
        <v>23</v>
      </c>
      <c r="M169" s="2" t="s">
        <v>137</v>
      </c>
      <c r="N169" s="1" t="s">
        <v>138</v>
      </c>
      <c r="O169" s="11">
        <v>590</v>
      </c>
      <c r="P169" s="2" t="s">
        <v>332</v>
      </c>
      <c r="Q169" s="12" t="str">
        <f t="shared" si="24"/>
        <v>24</v>
      </c>
      <c r="R169" s="12" t="str">
        <f t="shared" si="25"/>
        <v>11</v>
      </c>
      <c r="S169" s="6" t="s">
        <v>140</v>
      </c>
      <c r="T169" s="1" t="s">
        <v>141</v>
      </c>
      <c r="U169" s="6" t="s">
        <v>142</v>
      </c>
      <c r="V169" s="6" t="s">
        <v>143</v>
      </c>
      <c r="W169" s="1" t="s">
        <v>133</v>
      </c>
      <c r="X169" s="5">
        <v>46207</v>
      </c>
      <c r="Y169" s="1">
        <f t="shared" si="26"/>
        <v>30</v>
      </c>
      <c r="Z169" s="5">
        <v>46207</v>
      </c>
      <c r="AA169" s="3"/>
      <c r="AB169" s="3"/>
      <c r="AD169" s="133" t="str">
        <f t="shared" si="20"/>
        <v>Closed In July</v>
      </c>
    </row>
    <row r="170" spans="1:30" hidden="1">
      <c r="A170" s="21">
        <v>46177</v>
      </c>
      <c r="B170" s="1">
        <v>2026</v>
      </c>
      <c r="C170" s="8" t="s">
        <v>21</v>
      </c>
      <c r="D170" s="8" t="s">
        <v>134</v>
      </c>
      <c r="E170" s="1"/>
      <c r="F170" s="1" t="s">
        <v>19</v>
      </c>
      <c r="G170" s="11" t="s">
        <v>135</v>
      </c>
      <c r="H170" s="8">
        <v>9578099893</v>
      </c>
      <c r="I170" s="10" t="s">
        <v>25</v>
      </c>
      <c r="J170" s="18" t="s">
        <v>136</v>
      </c>
      <c r="K170" s="8" t="s">
        <v>22</v>
      </c>
      <c r="L170" s="8" t="s">
        <v>23</v>
      </c>
      <c r="M170" s="2" t="s">
        <v>137</v>
      </c>
      <c r="N170" s="1" t="s">
        <v>138</v>
      </c>
      <c r="O170" s="11">
        <v>590</v>
      </c>
      <c r="P170" s="2" t="s">
        <v>333</v>
      </c>
      <c r="Q170" s="12" t="str">
        <f t="shared" si="24"/>
        <v>24</v>
      </c>
      <c r="R170" s="12" t="str">
        <f t="shared" si="25"/>
        <v>11</v>
      </c>
      <c r="S170" s="6" t="s">
        <v>140</v>
      </c>
      <c r="T170" s="1" t="s">
        <v>141</v>
      </c>
      <c r="U170" s="6" t="s">
        <v>142</v>
      </c>
      <c r="V170" s="6" t="s">
        <v>143</v>
      </c>
      <c r="W170" s="1" t="s">
        <v>133</v>
      </c>
      <c r="X170" s="5">
        <v>46207</v>
      </c>
      <c r="Y170" s="1">
        <f t="shared" si="26"/>
        <v>30</v>
      </c>
      <c r="Z170" s="5">
        <v>46207</v>
      </c>
      <c r="AA170" s="3"/>
      <c r="AB170" s="3"/>
      <c r="AD170" s="133" t="str">
        <f t="shared" si="20"/>
        <v>Closed In July</v>
      </c>
    </row>
    <row r="171" spans="1:30" hidden="1">
      <c r="A171" s="21">
        <v>46177</v>
      </c>
      <c r="B171" s="1">
        <v>2026</v>
      </c>
      <c r="C171" s="8" t="s">
        <v>21</v>
      </c>
      <c r="D171" s="8" t="s">
        <v>134</v>
      </c>
      <c r="E171" s="1"/>
      <c r="F171" s="1" t="s">
        <v>19</v>
      </c>
      <c r="G171" s="11" t="s">
        <v>135</v>
      </c>
      <c r="H171" s="8">
        <v>9578099893</v>
      </c>
      <c r="I171" s="10" t="s">
        <v>25</v>
      </c>
      <c r="J171" s="18" t="s">
        <v>136</v>
      </c>
      <c r="K171" s="8" t="s">
        <v>22</v>
      </c>
      <c r="L171" s="8" t="s">
        <v>23</v>
      </c>
      <c r="M171" s="2" t="s">
        <v>137</v>
      </c>
      <c r="N171" s="1" t="s">
        <v>138</v>
      </c>
      <c r="O171" s="11">
        <v>590</v>
      </c>
      <c r="P171" s="2" t="s">
        <v>334</v>
      </c>
      <c r="Q171" s="12" t="str">
        <f t="shared" si="24"/>
        <v>24</v>
      </c>
      <c r="R171" s="12" t="str">
        <f t="shared" si="25"/>
        <v>11</v>
      </c>
      <c r="S171" s="6" t="s">
        <v>140</v>
      </c>
      <c r="T171" s="1" t="s">
        <v>141</v>
      </c>
      <c r="U171" s="6" t="s">
        <v>142</v>
      </c>
      <c r="V171" s="6" t="s">
        <v>143</v>
      </c>
      <c r="W171" s="1" t="s">
        <v>133</v>
      </c>
      <c r="X171" s="5">
        <v>46207</v>
      </c>
      <c r="Y171" s="1">
        <f t="shared" si="26"/>
        <v>30</v>
      </c>
      <c r="Z171" s="5">
        <v>46207</v>
      </c>
      <c r="AA171" s="3"/>
      <c r="AB171" s="3"/>
      <c r="AD171" s="133" t="str">
        <f t="shared" si="20"/>
        <v>Closed In July</v>
      </c>
    </row>
    <row r="172" spans="1:30" hidden="1">
      <c r="A172" s="21">
        <v>46177</v>
      </c>
      <c r="B172" s="1">
        <v>2026</v>
      </c>
      <c r="C172" s="8" t="s">
        <v>21</v>
      </c>
      <c r="D172" s="8" t="s">
        <v>134</v>
      </c>
      <c r="E172" s="1"/>
      <c r="F172" s="1" t="s">
        <v>19</v>
      </c>
      <c r="G172" s="11" t="s">
        <v>135</v>
      </c>
      <c r="H172" s="8">
        <v>9578099893</v>
      </c>
      <c r="I172" s="10" t="s">
        <v>25</v>
      </c>
      <c r="J172" s="18" t="s">
        <v>136</v>
      </c>
      <c r="K172" s="8" t="s">
        <v>22</v>
      </c>
      <c r="L172" s="8" t="s">
        <v>23</v>
      </c>
      <c r="M172" s="2" t="s">
        <v>137</v>
      </c>
      <c r="N172" s="1" t="s">
        <v>138</v>
      </c>
      <c r="O172" s="11">
        <v>590</v>
      </c>
      <c r="P172" s="2" t="s">
        <v>335</v>
      </c>
      <c r="Q172" s="12" t="str">
        <f t="shared" si="24"/>
        <v>24</v>
      </c>
      <c r="R172" s="12" t="str">
        <f t="shared" si="25"/>
        <v>11</v>
      </c>
      <c r="S172" s="6" t="s">
        <v>140</v>
      </c>
      <c r="T172" s="1" t="s">
        <v>141</v>
      </c>
      <c r="U172" s="6" t="s">
        <v>142</v>
      </c>
      <c r="V172" s="6" t="s">
        <v>143</v>
      </c>
      <c r="W172" s="1" t="s">
        <v>133</v>
      </c>
      <c r="X172" s="5">
        <v>46207</v>
      </c>
      <c r="Y172" s="1">
        <f t="shared" si="26"/>
        <v>30</v>
      </c>
      <c r="Z172" s="5">
        <v>46207</v>
      </c>
      <c r="AA172" s="3"/>
      <c r="AB172" s="3"/>
      <c r="AD172" s="133" t="str">
        <f t="shared" si="20"/>
        <v>Closed In July</v>
      </c>
    </row>
    <row r="173" spans="1:30" hidden="1">
      <c r="A173" s="21">
        <v>46177</v>
      </c>
      <c r="B173" s="1">
        <v>2026</v>
      </c>
      <c r="C173" s="8" t="s">
        <v>21</v>
      </c>
      <c r="D173" s="8" t="s">
        <v>134</v>
      </c>
      <c r="E173" s="1"/>
      <c r="F173" s="1" t="s">
        <v>19</v>
      </c>
      <c r="G173" s="11" t="s">
        <v>135</v>
      </c>
      <c r="H173" s="8">
        <v>9578099893</v>
      </c>
      <c r="I173" s="10" t="s">
        <v>25</v>
      </c>
      <c r="J173" s="18" t="s">
        <v>136</v>
      </c>
      <c r="K173" s="8" t="s">
        <v>22</v>
      </c>
      <c r="L173" s="8" t="s">
        <v>23</v>
      </c>
      <c r="M173" s="2" t="s">
        <v>146</v>
      </c>
      <c r="N173" s="1" t="s">
        <v>138</v>
      </c>
      <c r="O173" s="11">
        <v>590</v>
      </c>
      <c r="P173" s="2" t="s">
        <v>336</v>
      </c>
      <c r="Q173" s="12" t="str">
        <f t="shared" si="24"/>
        <v>24</v>
      </c>
      <c r="R173" s="12" t="str">
        <f t="shared" si="25"/>
        <v>11</v>
      </c>
      <c r="S173" s="6" t="s">
        <v>140</v>
      </c>
      <c r="T173" s="1" t="s">
        <v>141</v>
      </c>
      <c r="U173" s="1" t="s">
        <v>148</v>
      </c>
      <c r="V173" s="1" t="s">
        <v>143</v>
      </c>
      <c r="W173" s="1" t="s">
        <v>133</v>
      </c>
      <c r="X173" s="5">
        <v>46207</v>
      </c>
      <c r="Y173" s="1">
        <f t="shared" si="26"/>
        <v>30</v>
      </c>
      <c r="Z173" s="5">
        <v>46207</v>
      </c>
      <c r="AA173" s="3"/>
      <c r="AB173" s="3"/>
      <c r="AD173" s="133" t="str">
        <f t="shared" si="20"/>
        <v>Closed In July</v>
      </c>
    </row>
    <row r="174" spans="1:30" hidden="1">
      <c r="A174" s="21">
        <v>46177</v>
      </c>
      <c r="B174" s="1">
        <v>2026</v>
      </c>
      <c r="C174" s="8" t="s">
        <v>21</v>
      </c>
      <c r="D174" s="8" t="s">
        <v>134</v>
      </c>
      <c r="E174" s="1"/>
      <c r="F174" s="1" t="s">
        <v>19</v>
      </c>
      <c r="G174" s="11" t="s">
        <v>135</v>
      </c>
      <c r="H174" s="8">
        <v>9578099893</v>
      </c>
      <c r="I174" s="10" t="s">
        <v>25</v>
      </c>
      <c r="J174" s="18" t="s">
        <v>136</v>
      </c>
      <c r="K174" s="8" t="s">
        <v>22</v>
      </c>
      <c r="L174" s="8" t="s">
        <v>23</v>
      </c>
      <c r="M174" s="2" t="s">
        <v>146</v>
      </c>
      <c r="N174" s="1" t="s">
        <v>138</v>
      </c>
      <c r="O174" s="11">
        <v>590</v>
      </c>
      <c r="P174" s="2" t="s">
        <v>337</v>
      </c>
      <c r="Q174" s="12" t="str">
        <f t="shared" si="24"/>
        <v>24</v>
      </c>
      <c r="R174" s="12" t="str">
        <f t="shared" si="25"/>
        <v>11</v>
      </c>
      <c r="S174" s="6" t="s">
        <v>140</v>
      </c>
      <c r="T174" s="1" t="s">
        <v>141</v>
      </c>
      <c r="U174" s="1" t="s">
        <v>148</v>
      </c>
      <c r="V174" s="1" t="s">
        <v>143</v>
      </c>
      <c r="W174" s="1" t="s">
        <v>133</v>
      </c>
      <c r="X174" s="5">
        <v>46207</v>
      </c>
      <c r="Y174" s="1">
        <f t="shared" si="26"/>
        <v>30</v>
      </c>
      <c r="Z174" s="5">
        <v>46207</v>
      </c>
      <c r="AA174" s="3"/>
      <c r="AB174" s="3"/>
      <c r="AD174" s="133" t="str">
        <f t="shared" si="20"/>
        <v>Closed In July</v>
      </c>
    </row>
    <row r="175" spans="1:30" hidden="1">
      <c r="A175" s="21">
        <v>46177</v>
      </c>
      <c r="B175" s="1">
        <v>2026</v>
      </c>
      <c r="C175" s="8" t="s">
        <v>21</v>
      </c>
      <c r="D175" s="8" t="s">
        <v>134</v>
      </c>
      <c r="E175" s="1"/>
      <c r="F175" s="1" t="s">
        <v>19</v>
      </c>
      <c r="G175" s="11" t="s">
        <v>135</v>
      </c>
      <c r="H175" s="8">
        <v>9578099893</v>
      </c>
      <c r="I175" s="10" t="s">
        <v>25</v>
      </c>
      <c r="J175" s="18" t="s">
        <v>136</v>
      </c>
      <c r="K175" s="8" t="s">
        <v>22</v>
      </c>
      <c r="L175" s="8" t="s">
        <v>23</v>
      </c>
      <c r="M175" s="2" t="s">
        <v>146</v>
      </c>
      <c r="N175" s="1" t="s">
        <v>138</v>
      </c>
      <c r="O175" s="11">
        <v>590</v>
      </c>
      <c r="P175" s="2" t="s">
        <v>338</v>
      </c>
      <c r="Q175" s="12" t="str">
        <f t="shared" si="24"/>
        <v>24</v>
      </c>
      <c r="R175" s="12" t="str">
        <f t="shared" si="25"/>
        <v>11</v>
      </c>
      <c r="S175" s="6" t="s">
        <v>140</v>
      </c>
      <c r="T175" s="1" t="s">
        <v>141</v>
      </c>
      <c r="U175" s="1" t="s">
        <v>148</v>
      </c>
      <c r="V175" s="1" t="s">
        <v>143</v>
      </c>
      <c r="W175" s="1" t="s">
        <v>133</v>
      </c>
      <c r="X175" s="5">
        <v>46207</v>
      </c>
      <c r="Y175" s="1">
        <f t="shared" si="26"/>
        <v>30</v>
      </c>
      <c r="Z175" s="5">
        <v>46207</v>
      </c>
      <c r="AA175" s="3"/>
      <c r="AB175" s="3"/>
      <c r="AD175" s="133" t="str">
        <f t="shared" si="20"/>
        <v>Closed In July</v>
      </c>
    </row>
    <row r="176" spans="1:30" hidden="1">
      <c r="A176" s="21">
        <v>46177</v>
      </c>
      <c r="B176" s="1">
        <v>2026</v>
      </c>
      <c r="C176" s="8" t="s">
        <v>21</v>
      </c>
      <c r="D176" s="8" t="s">
        <v>134</v>
      </c>
      <c r="E176" s="1"/>
      <c r="F176" s="1" t="s">
        <v>19</v>
      </c>
      <c r="G176" s="11" t="s">
        <v>135</v>
      </c>
      <c r="H176" s="8">
        <v>9578099893</v>
      </c>
      <c r="I176" s="10" t="s">
        <v>25</v>
      </c>
      <c r="J176" s="18" t="s">
        <v>136</v>
      </c>
      <c r="K176" s="8" t="s">
        <v>22</v>
      </c>
      <c r="L176" s="8" t="s">
        <v>23</v>
      </c>
      <c r="M176" s="2" t="s">
        <v>146</v>
      </c>
      <c r="N176" s="1" t="s">
        <v>138</v>
      </c>
      <c r="O176" s="11">
        <v>590</v>
      </c>
      <c r="P176" s="2" t="s">
        <v>339</v>
      </c>
      <c r="Q176" s="12" t="str">
        <f t="shared" si="24"/>
        <v>24</v>
      </c>
      <c r="R176" s="12" t="str">
        <f t="shared" si="25"/>
        <v>11</v>
      </c>
      <c r="S176" s="6" t="s">
        <v>140</v>
      </c>
      <c r="T176" s="1" t="s">
        <v>141</v>
      </c>
      <c r="U176" s="1" t="s">
        <v>148</v>
      </c>
      <c r="V176" s="1" t="s">
        <v>143</v>
      </c>
      <c r="W176" s="1" t="s">
        <v>133</v>
      </c>
      <c r="X176" s="5">
        <v>46207</v>
      </c>
      <c r="Y176" s="1">
        <f t="shared" si="26"/>
        <v>30</v>
      </c>
      <c r="Z176" s="5">
        <v>46207</v>
      </c>
      <c r="AA176" s="3"/>
      <c r="AB176" s="3"/>
      <c r="AD176" s="133" t="str">
        <f t="shared" si="20"/>
        <v>Closed In July</v>
      </c>
    </row>
    <row r="177" spans="1:30" hidden="1">
      <c r="A177" s="21">
        <v>46177</v>
      </c>
      <c r="B177" s="1">
        <v>2026</v>
      </c>
      <c r="C177" s="8" t="s">
        <v>21</v>
      </c>
      <c r="D177" s="8" t="s">
        <v>134</v>
      </c>
      <c r="E177" s="1"/>
      <c r="F177" s="1" t="s">
        <v>19</v>
      </c>
      <c r="G177" s="11" t="s">
        <v>135</v>
      </c>
      <c r="H177" s="8">
        <v>9578099893</v>
      </c>
      <c r="I177" s="10" t="s">
        <v>25</v>
      </c>
      <c r="J177" s="18" t="s">
        <v>136</v>
      </c>
      <c r="K177" s="8" t="s">
        <v>22</v>
      </c>
      <c r="L177" s="8" t="s">
        <v>23</v>
      </c>
      <c r="M177" s="2" t="s">
        <v>137</v>
      </c>
      <c r="N177" s="1" t="s">
        <v>138</v>
      </c>
      <c r="O177" s="11">
        <v>590</v>
      </c>
      <c r="P177" s="2" t="s">
        <v>340</v>
      </c>
      <c r="Q177" s="12" t="str">
        <f t="shared" si="24"/>
        <v>24</v>
      </c>
      <c r="R177" s="12" t="str">
        <f t="shared" si="25"/>
        <v>11</v>
      </c>
      <c r="S177" s="6" t="s">
        <v>140</v>
      </c>
      <c r="T177" s="1" t="s">
        <v>141</v>
      </c>
      <c r="U177" s="6" t="s">
        <v>142</v>
      </c>
      <c r="V177" s="6" t="s">
        <v>143</v>
      </c>
      <c r="W177" s="1" t="s">
        <v>133</v>
      </c>
      <c r="X177" s="5">
        <v>46207</v>
      </c>
      <c r="Y177" s="1">
        <f t="shared" si="26"/>
        <v>30</v>
      </c>
      <c r="Z177" s="5">
        <v>46207</v>
      </c>
      <c r="AA177" s="3"/>
      <c r="AB177" s="3"/>
      <c r="AD177" s="133" t="str">
        <f t="shared" si="20"/>
        <v>Closed In July</v>
      </c>
    </row>
    <row r="178" spans="1:30" hidden="1">
      <c r="A178" s="21">
        <v>46177</v>
      </c>
      <c r="B178" s="1">
        <v>2026</v>
      </c>
      <c r="C178" s="8" t="s">
        <v>21</v>
      </c>
      <c r="D178" s="8" t="s">
        <v>134</v>
      </c>
      <c r="E178" s="1"/>
      <c r="F178" s="1" t="s">
        <v>19</v>
      </c>
      <c r="G178" s="11" t="s">
        <v>135</v>
      </c>
      <c r="H178" s="8">
        <v>9578099893</v>
      </c>
      <c r="I178" s="10" t="s">
        <v>25</v>
      </c>
      <c r="J178" s="18" t="s">
        <v>136</v>
      </c>
      <c r="K178" s="8" t="s">
        <v>22</v>
      </c>
      <c r="L178" s="8" t="s">
        <v>23</v>
      </c>
      <c r="M178" s="2" t="s">
        <v>137</v>
      </c>
      <c r="N178" s="1" t="s">
        <v>138</v>
      </c>
      <c r="O178" s="11">
        <v>590</v>
      </c>
      <c r="P178" s="2" t="s">
        <v>341</v>
      </c>
      <c r="Q178" s="12" t="str">
        <f t="shared" si="24"/>
        <v>24</v>
      </c>
      <c r="R178" s="12" t="str">
        <f t="shared" si="25"/>
        <v>11</v>
      </c>
      <c r="S178" s="6" t="s">
        <v>140</v>
      </c>
      <c r="T178" s="1" t="s">
        <v>141</v>
      </c>
      <c r="U178" s="6" t="s">
        <v>142</v>
      </c>
      <c r="V178" s="6" t="s">
        <v>143</v>
      </c>
      <c r="W178" s="1" t="s">
        <v>133</v>
      </c>
      <c r="X178" s="5">
        <v>46207</v>
      </c>
      <c r="Y178" s="1">
        <f t="shared" si="26"/>
        <v>30</v>
      </c>
      <c r="Z178" s="5">
        <v>46207</v>
      </c>
      <c r="AA178" s="3"/>
      <c r="AB178" s="3"/>
      <c r="AD178" s="133" t="str">
        <f t="shared" si="20"/>
        <v>Closed In July</v>
      </c>
    </row>
    <row r="179" spans="1:30" hidden="1">
      <c r="A179" s="21">
        <v>46177</v>
      </c>
      <c r="B179" s="1">
        <v>2026</v>
      </c>
      <c r="C179" s="8" t="s">
        <v>21</v>
      </c>
      <c r="D179" s="8" t="s">
        <v>134</v>
      </c>
      <c r="E179" s="1"/>
      <c r="F179" s="1" t="s">
        <v>19</v>
      </c>
      <c r="G179" s="11" t="s">
        <v>135</v>
      </c>
      <c r="H179" s="8">
        <v>9578099893</v>
      </c>
      <c r="I179" s="10" t="s">
        <v>25</v>
      </c>
      <c r="J179" s="18" t="s">
        <v>136</v>
      </c>
      <c r="K179" s="8" t="s">
        <v>22</v>
      </c>
      <c r="L179" s="8" t="s">
        <v>23</v>
      </c>
      <c r="M179" s="2" t="s">
        <v>308</v>
      </c>
      <c r="N179" s="1" t="s">
        <v>127</v>
      </c>
      <c r="O179" s="11">
        <v>590</v>
      </c>
      <c r="P179" s="2" t="s">
        <v>342</v>
      </c>
      <c r="Q179" s="12" t="str">
        <f t="shared" si="24"/>
        <v>24</v>
      </c>
      <c r="R179" s="12" t="str">
        <f t="shared" si="25"/>
        <v>11</v>
      </c>
      <c r="S179" s="6" t="s">
        <v>140</v>
      </c>
      <c r="T179" s="1" t="s">
        <v>141</v>
      </c>
      <c r="U179" s="6" t="s">
        <v>310</v>
      </c>
      <c r="V179" s="6" t="s">
        <v>132</v>
      </c>
      <c r="W179" s="1" t="s">
        <v>133</v>
      </c>
      <c r="X179" s="5">
        <v>46207</v>
      </c>
      <c r="Y179" s="1">
        <f t="shared" si="26"/>
        <v>30</v>
      </c>
      <c r="Z179" s="5">
        <v>46207</v>
      </c>
      <c r="AA179" s="3"/>
      <c r="AB179" s="3"/>
      <c r="AD179" s="133" t="str">
        <f t="shared" si="20"/>
        <v>Closed In July</v>
      </c>
    </row>
    <row r="180" spans="1:30" hidden="1">
      <c r="A180" s="21">
        <v>46177</v>
      </c>
      <c r="B180" s="1">
        <v>2026</v>
      </c>
      <c r="C180" s="8" t="s">
        <v>21</v>
      </c>
      <c r="D180" s="8" t="s">
        <v>134</v>
      </c>
      <c r="E180" s="1"/>
      <c r="F180" s="1" t="s">
        <v>19</v>
      </c>
      <c r="G180" s="11" t="s">
        <v>135</v>
      </c>
      <c r="H180" s="8">
        <v>9578099893</v>
      </c>
      <c r="I180" s="10" t="s">
        <v>25</v>
      </c>
      <c r="J180" s="18" t="s">
        <v>136</v>
      </c>
      <c r="K180" s="8" t="s">
        <v>22</v>
      </c>
      <c r="L180" s="8" t="s">
        <v>23</v>
      </c>
      <c r="M180" s="2" t="s">
        <v>137</v>
      </c>
      <c r="N180" s="1" t="s">
        <v>138</v>
      </c>
      <c r="O180" s="11">
        <v>590</v>
      </c>
      <c r="P180" s="2" t="s">
        <v>343</v>
      </c>
      <c r="Q180" s="12" t="str">
        <f t="shared" si="24"/>
        <v>24</v>
      </c>
      <c r="R180" s="12" t="str">
        <f t="shared" si="25"/>
        <v>11</v>
      </c>
      <c r="S180" s="6" t="s">
        <v>140</v>
      </c>
      <c r="T180" s="1" t="s">
        <v>141</v>
      </c>
      <c r="U180" s="6" t="s">
        <v>142</v>
      </c>
      <c r="V180" s="6" t="s">
        <v>143</v>
      </c>
      <c r="W180" s="1" t="s">
        <v>133</v>
      </c>
      <c r="X180" s="5">
        <v>46207</v>
      </c>
      <c r="Y180" s="1">
        <f t="shared" si="26"/>
        <v>30</v>
      </c>
      <c r="Z180" s="5">
        <v>46207</v>
      </c>
      <c r="AA180" s="3"/>
      <c r="AB180" s="3"/>
      <c r="AD180" s="133" t="str">
        <f t="shared" si="20"/>
        <v>Closed In July</v>
      </c>
    </row>
    <row r="181" spans="1:30" hidden="1">
      <c r="A181" s="21">
        <v>46177</v>
      </c>
      <c r="B181" s="1">
        <v>2026</v>
      </c>
      <c r="C181" s="8" t="s">
        <v>21</v>
      </c>
      <c r="D181" s="8" t="s">
        <v>134</v>
      </c>
      <c r="E181" s="1"/>
      <c r="F181" s="1" t="s">
        <v>19</v>
      </c>
      <c r="G181" s="11" t="s">
        <v>135</v>
      </c>
      <c r="H181" s="8">
        <v>9578099893</v>
      </c>
      <c r="I181" s="10" t="s">
        <v>25</v>
      </c>
      <c r="J181" s="18" t="s">
        <v>136</v>
      </c>
      <c r="K181" s="8" t="s">
        <v>22</v>
      </c>
      <c r="L181" s="8" t="s">
        <v>23</v>
      </c>
      <c r="M181" s="2" t="s">
        <v>126</v>
      </c>
      <c r="N181" s="1" t="s">
        <v>127</v>
      </c>
      <c r="O181" s="11">
        <v>590</v>
      </c>
      <c r="P181" s="2" t="s">
        <v>344</v>
      </c>
      <c r="Q181" s="12" t="str">
        <f t="shared" si="24"/>
        <v>24</v>
      </c>
      <c r="R181" s="12" t="str">
        <f t="shared" si="25"/>
        <v>11</v>
      </c>
      <c r="S181" s="6" t="s">
        <v>140</v>
      </c>
      <c r="T181" s="1" t="s">
        <v>141</v>
      </c>
      <c r="U181" s="6" t="s">
        <v>145</v>
      </c>
      <c r="V181" s="6" t="s">
        <v>132</v>
      </c>
      <c r="W181" s="1" t="s">
        <v>133</v>
      </c>
      <c r="X181" s="5">
        <v>46207</v>
      </c>
      <c r="Y181" s="1">
        <f t="shared" si="26"/>
        <v>30</v>
      </c>
      <c r="Z181" s="5">
        <v>46207</v>
      </c>
      <c r="AA181" s="3"/>
      <c r="AB181" s="3"/>
      <c r="AD181" s="133" t="str">
        <f t="shared" si="20"/>
        <v>Closed In July</v>
      </c>
    </row>
    <row r="182" spans="1:30" hidden="1">
      <c r="A182" s="21">
        <v>46177</v>
      </c>
      <c r="B182" s="1">
        <v>2026</v>
      </c>
      <c r="C182" s="8" t="s">
        <v>21</v>
      </c>
      <c r="D182" s="8" t="s">
        <v>134</v>
      </c>
      <c r="E182" s="1"/>
      <c r="F182" s="1" t="s">
        <v>19</v>
      </c>
      <c r="G182" s="11" t="s">
        <v>135</v>
      </c>
      <c r="H182" s="8">
        <v>9578099893</v>
      </c>
      <c r="I182" s="10" t="s">
        <v>25</v>
      </c>
      <c r="J182" s="18" t="s">
        <v>136</v>
      </c>
      <c r="K182" s="8" t="s">
        <v>22</v>
      </c>
      <c r="L182" s="8" t="s">
        <v>23</v>
      </c>
      <c r="M182" s="2" t="s">
        <v>137</v>
      </c>
      <c r="N182" s="1" t="s">
        <v>138</v>
      </c>
      <c r="O182" s="11">
        <v>590</v>
      </c>
      <c r="P182" s="2" t="s">
        <v>345</v>
      </c>
      <c r="Q182" s="12" t="str">
        <f t="shared" si="24"/>
        <v>24</v>
      </c>
      <c r="R182" s="12" t="str">
        <f t="shared" si="25"/>
        <v>11</v>
      </c>
      <c r="S182" s="6" t="s">
        <v>140</v>
      </c>
      <c r="T182" s="1" t="s">
        <v>141</v>
      </c>
      <c r="U182" s="6" t="s">
        <v>142</v>
      </c>
      <c r="V182" s="6" t="s">
        <v>143</v>
      </c>
      <c r="W182" s="1" t="s">
        <v>133</v>
      </c>
      <c r="X182" s="5">
        <v>46207</v>
      </c>
      <c r="Y182" s="1">
        <f t="shared" si="26"/>
        <v>30</v>
      </c>
      <c r="Z182" s="5">
        <v>46207</v>
      </c>
      <c r="AA182" s="3"/>
      <c r="AB182" s="3"/>
      <c r="AD182" s="133" t="str">
        <f t="shared" si="20"/>
        <v>Closed In July</v>
      </c>
    </row>
    <row r="183" spans="1:30" hidden="1">
      <c r="A183" s="21">
        <v>46177</v>
      </c>
      <c r="B183" s="1">
        <v>2026</v>
      </c>
      <c r="C183" s="8" t="s">
        <v>21</v>
      </c>
      <c r="D183" s="8" t="s">
        <v>134</v>
      </c>
      <c r="E183" s="1"/>
      <c r="F183" s="1" t="s">
        <v>19</v>
      </c>
      <c r="G183" s="11" t="s">
        <v>135</v>
      </c>
      <c r="H183" s="8">
        <v>9578099893</v>
      </c>
      <c r="I183" s="10" t="s">
        <v>25</v>
      </c>
      <c r="J183" s="18" t="s">
        <v>136</v>
      </c>
      <c r="K183" s="8" t="s">
        <v>22</v>
      </c>
      <c r="L183" s="8" t="s">
        <v>23</v>
      </c>
      <c r="M183" s="2" t="s">
        <v>137</v>
      </c>
      <c r="N183" s="1" t="s">
        <v>138</v>
      </c>
      <c r="O183" s="11">
        <v>590</v>
      </c>
      <c r="P183" s="2" t="s">
        <v>346</v>
      </c>
      <c r="Q183" s="12" t="str">
        <f t="shared" si="24"/>
        <v>24</v>
      </c>
      <c r="R183" s="12" t="str">
        <f t="shared" si="25"/>
        <v>11</v>
      </c>
      <c r="S183" s="6" t="s">
        <v>140</v>
      </c>
      <c r="T183" s="1" t="s">
        <v>141</v>
      </c>
      <c r="U183" s="6" t="s">
        <v>142</v>
      </c>
      <c r="V183" s="6" t="s">
        <v>143</v>
      </c>
      <c r="W183" s="1" t="s">
        <v>133</v>
      </c>
      <c r="X183" s="5">
        <v>46207</v>
      </c>
      <c r="Y183" s="1">
        <f t="shared" si="26"/>
        <v>30</v>
      </c>
      <c r="Z183" s="5">
        <v>46207</v>
      </c>
      <c r="AA183" s="3"/>
      <c r="AB183" s="3"/>
      <c r="AD183" s="133" t="str">
        <f t="shared" si="20"/>
        <v>Closed In July</v>
      </c>
    </row>
    <row r="184" spans="1:30" hidden="1">
      <c r="A184" s="21">
        <v>46177</v>
      </c>
      <c r="B184" s="1">
        <v>2026</v>
      </c>
      <c r="C184" s="8" t="s">
        <v>21</v>
      </c>
      <c r="D184" s="8" t="s">
        <v>134</v>
      </c>
      <c r="E184" s="1"/>
      <c r="F184" s="1" t="s">
        <v>19</v>
      </c>
      <c r="G184" s="11" t="s">
        <v>135</v>
      </c>
      <c r="H184" s="8">
        <v>9578099893</v>
      </c>
      <c r="I184" s="10" t="s">
        <v>25</v>
      </c>
      <c r="J184" s="18" t="s">
        <v>136</v>
      </c>
      <c r="K184" s="8" t="s">
        <v>22</v>
      </c>
      <c r="L184" s="8" t="s">
        <v>23</v>
      </c>
      <c r="M184" s="2" t="s">
        <v>137</v>
      </c>
      <c r="N184" s="1" t="s">
        <v>138</v>
      </c>
      <c r="O184" s="11">
        <v>590</v>
      </c>
      <c r="P184" s="2" t="s">
        <v>347</v>
      </c>
      <c r="Q184" s="12" t="str">
        <f t="shared" si="24"/>
        <v>24</v>
      </c>
      <c r="R184" s="12" t="str">
        <f t="shared" si="25"/>
        <v>11</v>
      </c>
      <c r="S184" s="6" t="s">
        <v>140</v>
      </c>
      <c r="T184" s="1" t="s">
        <v>141</v>
      </c>
      <c r="U184" s="6" t="s">
        <v>142</v>
      </c>
      <c r="V184" s="6" t="s">
        <v>143</v>
      </c>
      <c r="W184" s="1" t="s">
        <v>133</v>
      </c>
      <c r="X184" s="5">
        <v>46207</v>
      </c>
      <c r="Y184" s="1">
        <f t="shared" si="26"/>
        <v>30</v>
      </c>
      <c r="Z184" s="5">
        <v>46207</v>
      </c>
      <c r="AA184" s="3"/>
      <c r="AB184" s="3"/>
      <c r="AD184" s="133" t="str">
        <f t="shared" si="20"/>
        <v>Closed In July</v>
      </c>
    </row>
    <row r="185" spans="1:30" hidden="1">
      <c r="A185" s="21">
        <v>46177</v>
      </c>
      <c r="B185" s="1">
        <v>2026</v>
      </c>
      <c r="C185" s="8" t="s">
        <v>21</v>
      </c>
      <c r="D185" s="8" t="s">
        <v>134</v>
      </c>
      <c r="E185" s="1"/>
      <c r="F185" s="1" t="s">
        <v>19</v>
      </c>
      <c r="G185" s="11" t="s">
        <v>135</v>
      </c>
      <c r="H185" s="8">
        <v>9578099893</v>
      </c>
      <c r="I185" s="10" t="s">
        <v>25</v>
      </c>
      <c r="J185" s="18" t="s">
        <v>136</v>
      </c>
      <c r="K185" s="8" t="s">
        <v>22</v>
      </c>
      <c r="L185" s="8" t="s">
        <v>23</v>
      </c>
      <c r="M185" s="2" t="s">
        <v>137</v>
      </c>
      <c r="N185" s="1" t="s">
        <v>138</v>
      </c>
      <c r="O185" s="11">
        <v>590</v>
      </c>
      <c r="P185" s="2" t="s">
        <v>348</v>
      </c>
      <c r="Q185" s="12" t="str">
        <f t="shared" si="24"/>
        <v>24</v>
      </c>
      <c r="R185" s="12" t="str">
        <f t="shared" si="25"/>
        <v>11</v>
      </c>
      <c r="S185" s="6" t="s">
        <v>140</v>
      </c>
      <c r="T185" s="1" t="s">
        <v>141</v>
      </c>
      <c r="U185" s="6" t="s">
        <v>142</v>
      </c>
      <c r="V185" s="6" t="s">
        <v>143</v>
      </c>
      <c r="W185" s="1" t="s">
        <v>133</v>
      </c>
      <c r="X185" s="5">
        <v>46207</v>
      </c>
      <c r="Y185" s="1">
        <f t="shared" si="26"/>
        <v>30</v>
      </c>
      <c r="Z185" s="5">
        <v>46207</v>
      </c>
      <c r="AA185" s="3"/>
      <c r="AB185" s="3"/>
      <c r="AD185" s="133" t="str">
        <f t="shared" si="20"/>
        <v>Closed In July</v>
      </c>
    </row>
    <row r="186" spans="1:30" hidden="1">
      <c r="A186" s="21">
        <v>46177</v>
      </c>
      <c r="B186" s="1">
        <v>2026</v>
      </c>
      <c r="C186" s="8" t="s">
        <v>21</v>
      </c>
      <c r="D186" s="8" t="s">
        <v>134</v>
      </c>
      <c r="E186" s="1"/>
      <c r="F186" s="1" t="s">
        <v>19</v>
      </c>
      <c r="G186" s="11" t="s">
        <v>135</v>
      </c>
      <c r="H186" s="8">
        <v>9578099893</v>
      </c>
      <c r="I186" s="10" t="s">
        <v>25</v>
      </c>
      <c r="J186" s="18" t="s">
        <v>136</v>
      </c>
      <c r="K186" s="8" t="s">
        <v>22</v>
      </c>
      <c r="L186" s="8" t="s">
        <v>23</v>
      </c>
      <c r="M186" s="2" t="s">
        <v>308</v>
      </c>
      <c r="N186" s="1" t="s">
        <v>127</v>
      </c>
      <c r="O186" s="11">
        <v>590</v>
      </c>
      <c r="P186" s="2" t="s">
        <v>349</v>
      </c>
      <c r="Q186" s="12" t="str">
        <f t="shared" si="24"/>
        <v>24</v>
      </c>
      <c r="R186" s="12" t="str">
        <f t="shared" si="25"/>
        <v>11</v>
      </c>
      <c r="S186" s="6" t="s">
        <v>140</v>
      </c>
      <c r="T186" s="1" t="s">
        <v>141</v>
      </c>
      <c r="U186" s="6" t="s">
        <v>310</v>
      </c>
      <c r="V186" s="6" t="s">
        <v>132</v>
      </c>
      <c r="W186" s="1" t="s">
        <v>133</v>
      </c>
      <c r="X186" s="5">
        <v>46207</v>
      </c>
      <c r="Y186" s="1">
        <f t="shared" si="26"/>
        <v>30</v>
      </c>
      <c r="Z186" s="5">
        <v>46207</v>
      </c>
      <c r="AA186" s="3"/>
      <c r="AB186" s="3"/>
      <c r="AD186" s="133" t="str">
        <f t="shared" si="20"/>
        <v>Closed In July</v>
      </c>
    </row>
    <row r="187" spans="1:30" hidden="1">
      <c r="A187" s="21">
        <v>46177</v>
      </c>
      <c r="B187" s="1">
        <v>2026</v>
      </c>
      <c r="C187" s="8" t="s">
        <v>21</v>
      </c>
      <c r="D187" s="8" t="s">
        <v>134</v>
      </c>
      <c r="E187" s="1"/>
      <c r="F187" s="1" t="s">
        <v>19</v>
      </c>
      <c r="G187" s="11" t="s">
        <v>135</v>
      </c>
      <c r="H187" s="8">
        <v>9578099893</v>
      </c>
      <c r="I187" s="10" t="s">
        <v>25</v>
      </c>
      <c r="J187" s="18" t="s">
        <v>136</v>
      </c>
      <c r="K187" s="8" t="s">
        <v>22</v>
      </c>
      <c r="L187" s="8" t="s">
        <v>23</v>
      </c>
      <c r="M187" s="2" t="s">
        <v>146</v>
      </c>
      <c r="N187" s="1" t="s">
        <v>138</v>
      </c>
      <c r="O187" s="11">
        <v>590</v>
      </c>
      <c r="P187" s="2" t="s">
        <v>350</v>
      </c>
      <c r="Q187" s="12" t="str">
        <f t="shared" si="24"/>
        <v>24</v>
      </c>
      <c r="R187" s="12" t="str">
        <f t="shared" si="25"/>
        <v>11</v>
      </c>
      <c r="S187" s="6" t="s">
        <v>140</v>
      </c>
      <c r="T187" s="1" t="s">
        <v>141</v>
      </c>
      <c r="U187" s="1" t="s">
        <v>148</v>
      </c>
      <c r="V187" s="1" t="s">
        <v>143</v>
      </c>
      <c r="W187" s="1" t="s">
        <v>133</v>
      </c>
      <c r="X187" s="5">
        <v>46207</v>
      </c>
      <c r="Y187" s="1">
        <f t="shared" si="26"/>
        <v>30</v>
      </c>
      <c r="Z187" s="5">
        <v>46207</v>
      </c>
      <c r="AA187" s="3"/>
      <c r="AB187" s="3"/>
      <c r="AD187" s="133" t="str">
        <f t="shared" si="20"/>
        <v>Closed In July</v>
      </c>
    </row>
    <row r="188" spans="1:30" hidden="1">
      <c r="A188" s="21">
        <v>46177</v>
      </c>
      <c r="B188" s="1">
        <v>2026</v>
      </c>
      <c r="C188" s="8" t="s">
        <v>21</v>
      </c>
      <c r="D188" s="8" t="s">
        <v>134</v>
      </c>
      <c r="E188" s="1"/>
      <c r="F188" s="1" t="s">
        <v>19</v>
      </c>
      <c r="G188" s="11" t="s">
        <v>135</v>
      </c>
      <c r="H188" s="8">
        <v>9578099893</v>
      </c>
      <c r="I188" s="10" t="s">
        <v>25</v>
      </c>
      <c r="J188" s="18" t="s">
        <v>136</v>
      </c>
      <c r="K188" s="8" t="s">
        <v>22</v>
      </c>
      <c r="L188" s="8" t="s">
        <v>23</v>
      </c>
      <c r="M188" s="2" t="s">
        <v>146</v>
      </c>
      <c r="N188" s="1" t="s">
        <v>138</v>
      </c>
      <c r="O188" s="11">
        <v>590</v>
      </c>
      <c r="P188" s="2" t="s">
        <v>351</v>
      </c>
      <c r="Q188" s="12" t="str">
        <f t="shared" si="24"/>
        <v>24</v>
      </c>
      <c r="R188" s="12" t="str">
        <f t="shared" si="25"/>
        <v>10</v>
      </c>
      <c r="S188" s="6" t="s">
        <v>140</v>
      </c>
      <c r="T188" s="1" t="s">
        <v>141</v>
      </c>
      <c r="U188" s="1" t="s">
        <v>148</v>
      </c>
      <c r="V188" s="1" t="s">
        <v>143</v>
      </c>
      <c r="W188" s="1" t="s">
        <v>133</v>
      </c>
      <c r="X188" s="5">
        <v>46207</v>
      </c>
      <c r="Y188" s="1">
        <f t="shared" si="26"/>
        <v>30</v>
      </c>
      <c r="Z188" s="5">
        <v>46207</v>
      </c>
      <c r="AA188" s="3"/>
      <c r="AB188" s="3"/>
      <c r="AD188" s="133" t="str">
        <f t="shared" si="20"/>
        <v>Closed In July</v>
      </c>
    </row>
    <row r="189" spans="1:30" hidden="1">
      <c r="A189" s="21">
        <v>46177</v>
      </c>
      <c r="B189" s="1">
        <v>2026</v>
      </c>
      <c r="C189" s="8" t="s">
        <v>21</v>
      </c>
      <c r="D189" s="8" t="s">
        <v>134</v>
      </c>
      <c r="E189" s="1"/>
      <c r="F189" s="1" t="s">
        <v>19</v>
      </c>
      <c r="G189" s="11" t="s">
        <v>135</v>
      </c>
      <c r="H189" s="8">
        <v>9578099893</v>
      </c>
      <c r="I189" s="10" t="s">
        <v>25</v>
      </c>
      <c r="J189" s="18" t="s">
        <v>136</v>
      </c>
      <c r="K189" s="8" t="s">
        <v>22</v>
      </c>
      <c r="L189" s="8" t="s">
        <v>23</v>
      </c>
      <c r="M189" s="2" t="s">
        <v>126</v>
      </c>
      <c r="N189" s="1" t="s">
        <v>127</v>
      </c>
      <c r="O189" s="11">
        <v>590</v>
      </c>
      <c r="P189" s="2" t="s">
        <v>352</v>
      </c>
      <c r="Q189" s="12" t="str">
        <f t="shared" si="24"/>
        <v>24</v>
      </c>
      <c r="R189" s="12" t="str">
        <f t="shared" si="25"/>
        <v>10</v>
      </c>
      <c r="S189" s="6" t="s">
        <v>140</v>
      </c>
      <c r="T189" s="1" t="s">
        <v>141</v>
      </c>
      <c r="U189" s="6" t="s">
        <v>145</v>
      </c>
      <c r="V189" s="6" t="s">
        <v>132</v>
      </c>
      <c r="W189" s="1" t="s">
        <v>133</v>
      </c>
      <c r="X189" s="5">
        <v>46207</v>
      </c>
      <c r="Y189" s="1">
        <f t="shared" si="26"/>
        <v>30</v>
      </c>
      <c r="Z189" s="5">
        <v>46207</v>
      </c>
      <c r="AA189" s="3"/>
      <c r="AB189" s="3"/>
      <c r="AD189" s="133" t="str">
        <f t="shared" si="20"/>
        <v>Closed In July</v>
      </c>
    </row>
    <row r="190" spans="1:30" hidden="1">
      <c r="A190" s="21">
        <v>46177</v>
      </c>
      <c r="B190" s="1">
        <v>2026</v>
      </c>
      <c r="C190" s="8" t="s">
        <v>21</v>
      </c>
      <c r="D190" s="8" t="s">
        <v>134</v>
      </c>
      <c r="E190" s="1"/>
      <c r="F190" s="1" t="s">
        <v>19</v>
      </c>
      <c r="G190" s="11" t="s">
        <v>135</v>
      </c>
      <c r="H190" s="8">
        <v>9578099893</v>
      </c>
      <c r="I190" s="10" t="s">
        <v>25</v>
      </c>
      <c r="J190" s="18" t="s">
        <v>136</v>
      </c>
      <c r="K190" s="8" t="s">
        <v>22</v>
      </c>
      <c r="L190" s="8" t="s">
        <v>23</v>
      </c>
      <c r="M190" s="2" t="s">
        <v>126</v>
      </c>
      <c r="N190" s="1" t="s">
        <v>127</v>
      </c>
      <c r="O190" s="11">
        <v>590</v>
      </c>
      <c r="P190" s="2" t="s">
        <v>353</v>
      </c>
      <c r="Q190" s="12" t="str">
        <f t="shared" si="24"/>
        <v>24</v>
      </c>
      <c r="R190" s="12" t="str">
        <f t="shared" si="25"/>
        <v>10</v>
      </c>
      <c r="S190" s="6" t="s">
        <v>140</v>
      </c>
      <c r="T190" s="1" t="s">
        <v>141</v>
      </c>
      <c r="U190" s="6" t="s">
        <v>145</v>
      </c>
      <c r="V190" s="6" t="s">
        <v>132</v>
      </c>
      <c r="W190" s="1" t="s">
        <v>133</v>
      </c>
      <c r="X190" s="5">
        <v>46207</v>
      </c>
      <c r="Y190" s="1">
        <f t="shared" si="26"/>
        <v>30</v>
      </c>
      <c r="Z190" s="5">
        <v>46207</v>
      </c>
      <c r="AA190" s="3"/>
      <c r="AB190" s="3"/>
      <c r="AD190" s="133" t="str">
        <f t="shared" si="20"/>
        <v>Closed In July</v>
      </c>
    </row>
    <row r="191" spans="1:30" hidden="1">
      <c r="A191" s="21">
        <v>46177</v>
      </c>
      <c r="B191" s="1">
        <v>2026</v>
      </c>
      <c r="C191" s="8" t="s">
        <v>21</v>
      </c>
      <c r="D191" s="8" t="s">
        <v>134</v>
      </c>
      <c r="E191" s="1"/>
      <c r="F191" s="1" t="s">
        <v>19</v>
      </c>
      <c r="G191" s="11" t="s">
        <v>135</v>
      </c>
      <c r="H191" s="8">
        <v>9578099893</v>
      </c>
      <c r="I191" s="10" t="s">
        <v>25</v>
      </c>
      <c r="J191" s="18" t="s">
        <v>136</v>
      </c>
      <c r="K191" s="8" t="s">
        <v>22</v>
      </c>
      <c r="L191" s="8" t="s">
        <v>23</v>
      </c>
      <c r="M191" s="2" t="s">
        <v>146</v>
      </c>
      <c r="N191" s="1" t="s">
        <v>138</v>
      </c>
      <c r="O191" s="11">
        <v>590</v>
      </c>
      <c r="P191" s="2" t="s">
        <v>354</v>
      </c>
      <c r="Q191" s="12" t="str">
        <f t="shared" si="24"/>
        <v>24</v>
      </c>
      <c r="R191" s="12" t="str">
        <f t="shared" si="25"/>
        <v>11</v>
      </c>
      <c r="S191" s="6" t="s">
        <v>140</v>
      </c>
      <c r="T191" s="1" t="s">
        <v>141</v>
      </c>
      <c r="U191" s="1" t="s">
        <v>148</v>
      </c>
      <c r="V191" s="1" t="s">
        <v>143</v>
      </c>
      <c r="W191" s="1" t="s">
        <v>133</v>
      </c>
      <c r="X191" s="5">
        <v>46207</v>
      </c>
      <c r="Y191" s="1">
        <f t="shared" si="26"/>
        <v>30</v>
      </c>
      <c r="Z191" s="5">
        <v>46207</v>
      </c>
      <c r="AA191" s="3"/>
      <c r="AB191" s="3"/>
      <c r="AD191" s="133" t="str">
        <f t="shared" si="20"/>
        <v>Closed In July</v>
      </c>
    </row>
    <row r="192" spans="1:30" hidden="1">
      <c r="A192" s="21">
        <v>46177</v>
      </c>
      <c r="B192" s="1">
        <v>2026</v>
      </c>
      <c r="C192" s="8" t="s">
        <v>21</v>
      </c>
      <c r="D192" s="8" t="s">
        <v>134</v>
      </c>
      <c r="E192" s="1"/>
      <c r="F192" s="1" t="s">
        <v>19</v>
      </c>
      <c r="G192" s="11" t="s">
        <v>135</v>
      </c>
      <c r="H192" s="8">
        <v>9578099893</v>
      </c>
      <c r="I192" s="10" t="s">
        <v>25</v>
      </c>
      <c r="J192" s="18" t="s">
        <v>136</v>
      </c>
      <c r="K192" s="8" t="s">
        <v>22</v>
      </c>
      <c r="L192" s="8" t="s">
        <v>23</v>
      </c>
      <c r="M192" s="2" t="s">
        <v>137</v>
      </c>
      <c r="N192" s="1" t="s">
        <v>138</v>
      </c>
      <c r="O192" s="11">
        <v>590</v>
      </c>
      <c r="P192" s="2" t="s">
        <v>355</v>
      </c>
      <c r="Q192" s="12" t="str">
        <f t="shared" si="24"/>
        <v>24</v>
      </c>
      <c r="R192" s="12" t="str">
        <f t="shared" si="25"/>
        <v>11</v>
      </c>
      <c r="S192" s="6" t="s">
        <v>140</v>
      </c>
      <c r="T192" s="1" t="s">
        <v>141</v>
      </c>
      <c r="U192" s="6" t="s">
        <v>142</v>
      </c>
      <c r="V192" s="6" t="s">
        <v>143</v>
      </c>
      <c r="W192" s="1" t="s">
        <v>133</v>
      </c>
      <c r="X192" s="5">
        <v>46207</v>
      </c>
      <c r="Y192" s="1">
        <f t="shared" si="26"/>
        <v>30</v>
      </c>
      <c r="Z192" s="5">
        <v>46207</v>
      </c>
      <c r="AA192" s="3"/>
      <c r="AB192" s="3"/>
      <c r="AD192" s="133" t="str">
        <f t="shared" si="20"/>
        <v>Closed In July</v>
      </c>
    </row>
    <row r="193" spans="1:30" hidden="1">
      <c r="A193" s="21">
        <v>46177</v>
      </c>
      <c r="B193" s="1">
        <v>2026</v>
      </c>
      <c r="C193" s="8" t="s">
        <v>21</v>
      </c>
      <c r="D193" s="8" t="s">
        <v>134</v>
      </c>
      <c r="E193" s="1"/>
      <c r="F193" s="1" t="s">
        <v>19</v>
      </c>
      <c r="G193" s="11" t="s">
        <v>135</v>
      </c>
      <c r="H193" s="8">
        <v>9578099893</v>
      </c>
      <c r="I193" s="10" t="s">
        <v>25</v>
      </c>
      <c r="J193" s="18" t="s">
        <v>136</v>
      </c>
      <c r="K193" s="8" t="s">
        <v>22</v>
      </c>
      <c r="L193" s="8" t="s">
        <v>23</v>
      </c>
      <c r="M193" s="2" t="s">
        <v>137</v>
      </c>
      <c r="N193" s="1" t="s">
        <v>138</v>
      </c>
      <c r="O193" s="11">
        <v>590</v>
      </c>
      <c r="P193" s="2" t="s">
        <v>356</v>
      </c>
      <c r="Q193" s="12" t="str">
        <f t="shared" ref="Q193:Q238" si="27">MID(P193,5,2)</f>
        <v>24</v>
      </c>
      <c r="R193" s="12" t="str">
        <f t="shared" ref="R193:R238" si="28">MID(P193,7,2)</f>
        <v>11</v>
      </c>
      <c r="S193" s="6" t="s">
        <v>140</v>
      </c>
      <c r="T193" s="1" t="s">
        <v>141</v>
      </c>
      <c r="U193" s="6" t="s">
        <v>142</v>
      </c>
      <c r="V193" s="6" t="s">
        <v>143</v>
      </c>
      <c r="W193" s="1" t="s">
        <v>133</v>
      </c>
      <c r="X193" s="5">
        <v>46209</v>
      </c>
      <c r="Y193" s="1">
        <f t="shared" ref="Y193" si="29">X193-A193</f>
        <v>32</v>
      </c>
      <c r="Z193" s="5">
        <v>46209</v>
      </c>
      <c r="AA193" s="3"/>
      <c r="AB193" s="3"/>
      <c r="AD193" s="133" t="str">
        <f t="shared" si="20"/>
        <v>Closed In July</v>
      </c>
    </row>
    <row r="194" spans="1:30" hidden="1">
      <c r="A194" s="21">
        <v>46177</v>
      </c>
      <c r="B194" s="1">
        <v>2026</v>
      </c>
      <c r="C194" s="8" t="s">
        <v>21</v>
      </c>
      <c r="D194" s="8" t="s">
        <v>134</v>
      </c>
      <c r="E194" s="1"/>
      <c r="F194" s="1" t="s">
        <v>19</v>
      </c>
      <c r="G194" s="11" t="s">
        <v>135</v>
      </c>
      <c r="H194" s="8">
        <v>9578099893</v>
      </c>
      <c r="I194" s="10" t="s">
        <v>25</v>
      </c>
      <c r="J194" s="18" t="s">
        <v>136</v>
      </c>
      <c r="K194" s="8" t="s">
        <v>22</v>
      </c>
      <c r="L194" s="8" t="s">
        <v>23</v>
      </c>
      <c r="M194" s="2" t="s">
        <v>146</v>
      </c>
      <c r="N194" s="1" t="s">
        <v>138</v>
      </c>
      <c r="O194" s="11">
        <v>590</v>
      </c>
      <c r="P194" s="2" t="s">
        <v>357</v>
      </c>
      <c r="Q194" s="12" t="str">
        <f t="shared" si="27"/>
        <v>24</v>
      </c>
      <c r="R194" s="12" t="str">
        <f t="shared" si="28"/>
        <v>11</v>
      </c>
      <c r="S194" s="6" t="s">
        <v>140</v>
      </c>
      <c r="T194" s="1" t="s">
        <v>141</v>
      </c>
      <c r="U194" s="1" t="s">
        <v>148</v>
      </c>
      <c r="V194" s="1" t="s">
        <v>143</v>
      </c>
      <c r="W194" s="1" t="s">
        <v>133</v>
      </c>
      <c r="X194" s="5">
        <v>46209</v>
      </c>
      <c r="Y194" s="1">
        <f t="shared" ref="Y194:Y238" si="30">X194-A194</f>
        <v>32</v>
      </c>
      <c r="Z194" s="5">
        <v>46209</v>
      </c>
      <c r="AA194" s="3"/>
      <c r="AB194" s="3"/>
      <c r="AD194" s="133" t="str">
        <f t="shared" si="20"/>
        <v>Closed In July</v>
      </c>
    </row>
    <row r="195" spans="1:30" hidden="1">
      <c r="A195" s="21">
        <v>46177</v>
      </c>
      <c r="B195" s="1">
        <v>2026</v>
      </c>
      <c r="C195" s="8" t="s">
        <v>21</v>
      </c>
      <c r="D195" s="8" t="s">
        <v>134</v>
      </c>
      <c r="E195" s="1"/>
      <c r="F195" s="1" t="s">
        <v>19</v>
      </c>
      <c r="G195" s="11" t="s">
        <v>135</v>
      </c>
      <c r="H195" s="8">
        <v>9578099893</v>
      </c>
      <c r="I195" s="10" t="s">
        <v>25</v>
      </c>
      <c r="J195" s="18" t="s">
        <v>136</v>
      </c>
      <c r="K195" s="8" t="s">
        <v>22</v>
      </c>
      <c r="L195" s="8" t="s">
        <v>23</v>
      </c>
      <c r="M195" s="2" t="s">
        <v>137</v>
      </c>
      <c r="N195" s="1" t="s">
        <v>138</v>
      </c>
      <c r="O195" s="11">
        <v>590</v>
      </c>
      <c r="P195" s="2" t="s">
        <v>358</v>
      </c>
      <c r="Q195" s="12" t="str">
        <f t="shared" si="27"/>
        <v>24</v>
      </c>
      <c r="R195" s="12" t="str">
        <f t="shared" si="28"/>
        <v>11</v>
      </c>
      <c r="S195" s="6" t="s">
        <v>140</v>
      </c>
      <c r="T195" s="1" t="s">
        <v>141</v>
      </c>
      <c r="U195" s="6" t="s">
        <v>142</v>
      </c>
      <c r="V195" s="6" t="s">
        <v>143</v>
      </c>
      <c r="W195" s="1" t="s">
        <v>133</v>
      </c>
      <c r="X195" s="5">
        <v>46209</v>
      </c>
      <c r="Y195" s="1">
        <f t="shared" si="30"/>
        <v>32</v>
      </c>
      <c r="Z195" s="5">
        <v>46209</v>
      </c>
      <c r="AA195" s="3"/>
      <c r="AB195" s="3"/>
      <c r="AD195" s="133" t="str">
        <f t="shared" ref="AD195:AD258" si="31">IF(AND(F195="Closed",X195&gt;=DATE(2026,7,1),X195&lt;=DATE(2026,7,31)),"Closed In July","Other")</f>
        <v>Closed In July</v>
      </c>
    </row>
    <row r="196" spans="1:30" hidden="1">
      <c r="A196" s="21">
        <v>46177</v>
      </c>
      <c r="B196" s="1">
        <v>2026</v>
      </c>
      <c r="C196" s="8" t="s">
        <v>21</v>
      </c>
      <c r="D196" s="8" t="s">
        <v>134</v>
      </c>
      <c r="E196" s="1"/>
      <c r="F196" s="1" t="s">
        <v>19</v>
      </c>
      <c r="G196" s="11" t="s">
        <v>135</v>
      </c>
      <c r="H196" s="8">
        <v>9578099893</v>
      </c>
      <c r="I196" s="10" t="s">
        <v>25</v>
      </c>
      <c r="J196" s="18" t="s">
        <v>136</v>
      </c>
      <c r="K196" s="8" t="s">
        <v>22</v>
      </c>
      <c r="L196" s="8" t="s">
        <v>23</v>
      </c>
      <c r="M196" s="2" t="s">
        <v>146</v>
      </c>
      <c r="N196" s="1" t="s">
        <v>138</v>
      </c>
      <c r="O196" s="11">
        <v>590</v>
      </c>
      <c r="P196" s="2" t="s">
        <v>359</v>
      </c>
      <c r="Q196" s="12" t="str">
        <f t="shared" si="27"/>
        <v>24</v>
      </c>
      <c r="R196" s="12" t="str">
        <f t="shared" si="28"/>
        <v>11</v>
      </c>
      <c r="S196" s="6" t="s">
        <v>140</v>
      </c>
      <c r="T196" s="1" t="s">
        <v>141</v>
      </c>
      <c r="U196" s="1" t="s">
        <v>148</v>
      </c>
      <c r="V196" s="1" t="s">
        <v>143</v>
      </c>
      <c r="W196" s="1" t="s">
        <v>133</v>
      </c>
      <c r="X196" s="5">
        <v>46209</v>
      </c>
      <c r="Y196" s="1">
        <f t="shared" si="30"/>
        <v>32</v>
      </c>
      <c r="Z196" s="5">
        <v>46209</v>
      </c>
      <c r="AA196" s="3"/>
      <c r="AB196" s="3"/>
      <c r="AD196" s="133" t="str">
        <f t="shared" si="31"/>
        <v>Closed In July</v>
      </c>
    </row>
    <row r="197" spans="1:30" hidden="1">
      <c r="A197" s="21">
        <v>46177</v>
      </c>
      <c r="B197" s="1">
        <v>2026</v>
      </c>
      <c r="C197" s="8" t="s">
        <v>21</v>
      </c>
      <c r="D197" s="8" t="s">
        <v>134</v>
      </c>
      <c r="E197" s="1"/>
      <c r="F197" s="1" t="s">
        <v>19</v>
      </c>
      <c r="G197" s="11" t="s">
        <v>135</v>
      </c>
      <c r="H197" s="8">
        <v>9578099893</v>
      </c>
      <c r="I197" s="10" t="s">
        <v>25</v>
      </c>
      <c r="J197" s="18" t="s">
        <v>136</v>
      </c>
      <c r="K197" s="8" t="s">
        <v>22</v>
      </c>
      <c r="L197" s="8" t="s">
        <v>23</v>
      </c>
      <c r="M197" s="2" t="s">
        <v>146</v>
      </c>
      <c r="N197" s="1" t="s">
        <v>138</v>
      </c>
      <c r="O197" s="11">
        <v>590</v>
      </c>
      <c r="P197" s="2" t="s">
        <v>360</v>
      </c>
      <c r="Q197" s="12" t="str">
        <f t="shared" si="27"/>
        <v>24</v>
      </c>
      <c r="R197" s="12" t="str">
        <f t="shared" si="28"/>
        <v>11</v>
      </c>
      <c r="S197" s="6" t="s">
        <v>140</v>
      </c>
      <c r="T197" s="1" t="s">
        <v>141</v>
      </c>
      <c r="U197" s="1" t="s">
        <v>148</v>
      </c>
      <c r="V197" s="1" t="s">
        <v>143</v>
      </c>
      <c r="W197" s="1" t="s">
        <v>133</v>
      </c>
      <c r="X197" s="5">
        <v>46209</v>
      </c>
      <c r="Y197" s="1">
        <f t="shared" si="30"/>
        <v>32</v>
      </c>
      <c r="Z197" s="5">
        <v>46209</v>
      </c>
      <c r="AA197" s="3"/>
      <c r="AB197" s="3"/>
      <c r="AD197" s="133" t="str">
        <f t="shared" si="31"/>
        <v>Closed In July</v>
      </c>
    </row>
    <row r="198" spans="1:30" hidden="1">
      <c r="A198" s="21">
        <v>46177</v>
      </c>
      <c r="B198" s="1">
        <v>2026</v>
      </c>
      <c r="C198" s="8" t="s">
        <v>21</v>
      </c>
      <c r="D198" s="8" t="s">
        <v>134</v>
      </c>
      <c r="E198" s="1"/>
      <c r="F198" s="1" t="s">
        <v>19</v>
      </c>
      <c r="G198" s="11" t="s">
        <v>135</v>
      </c>
      <c r="H198" s="8">
        <v>9578099893</v>
      </c>
      <c r="I198" s="10" t="s">
        <v>25</v>
      </c>
      <c r="J198" s="18" t="s">
        <v>136</v>
      </c>
      <c r="K198" s="8" t="s">
        <v>22</v>
      </c>
      <c r="L198" s="8" t="s">
        <v>23</v>
      </c>
      <c r="M198" s="2" t="s">
        <v>152</v>
      </c>
      <c r="N198" s="1" t="s">
        <v>138</v>
      </c>
      <c r="O198" s="11">
        <v>590</v>
      </c>
      <c r="P198" s="2" t="s">
        <v>361</v>
      </c>
      <c r="Q198" s="12" t="str">
        <f t="shared" si="27"/>
        <v>24</v>
      </c>
      <c r="R198" s="12" t="str">
        <f t="shared" si="28"/>
        <v>11</v>
      </c>
      <c r="S198" s="6" t="s">
        <v>140</v>
      </c>
      <c r="T198" s="1" t="s">
        <v>141</v>
      </c>
      <c r="U198" s="1" t="s">
        <v>154</v>
      </c>
      <c r="V198" s="1" t="s">
        <v>143</v>
      </c>
      <c r="W198" s="1" t="s">
        <v>133</v>
      </c>
      <c r="X198" s="5">
        <v>46209</v>
      </c>
      <c r="Y198" s="1">
        <f t="shared" si="30"/>
        <v>32</v>
      </c>
      <c r="Z198" s="5">
        <v>46209</v>
      </c>
      <c r="AA198" s="3"/>
      <c r="AB198" s="3"/>
      <c r="AD198" s="133" t="str">
        <f t="shared" si="31"/>
        <v>Closed In July</v>
      </c>
    </row>
    <row r="199" spans="1:30" hidden="1">
      <c r="A199" s="21">
        <v>46177</v>
      </c>
      <c r="B199" s="1">
        <v>2026</v>
      </c>
      <c r="C199" s="8" t="s">
        <v>21</v>
      </c>
      <c r="D199" s="8" t="s">
        <v>134</v>
      </c>
      <c r="E199" s="1"/>
      <c r="F199" s="1" t="s">
        <v>19</v>
      </c>
      <c r="G199" s="11" t="s">
        <v>135</v>
      </c>
      <c r="H199" s="8">
        <v>9578099893</v>
      </c>
      <c r="I199" s="10" t="s">
        <v>25</v>
      </c>
      <c r="J199" s="18" t="s">
        <v>136</v>
      </c>
      <c r="K199" s="8" t="s">
        <v>22</v>
      </c>
      <c r="L199" s="8" t="s">
        <v>23</v>
      </c>
      <c r="M199" s="2" t="s">
        <v>146</v>
      </c>
      <c r="N199" s="1" t="s">
        <v>138</v>
      </c>
      <c r="O199" s="11">
        <v>590</v>
      </c>
      <c r="P199" s="2" t="s">
        <v>362</v>
      </c>
      <c r="Q199" s="12" t="str">
        <f t="shared" si="27"/>
        <v>24</v>
      </c>
      <c r="R199" s="12" t="str">
        <f t="shared" si="28"/>
        <v>11</v>
      </c>
      <c r="S199" s="6" t="s">
        <v>140</v>
      </c>
      <c r="T199" s="1" t="s">
        <v>141</v>
      </c>
      <c r="U199" s="1" t="s">
        <v>148</v>
      </c>
      <c r="V199" s="1" t="s">
        <v>143</v>
      </c>
      <c r="W199" s="1" t="s">
        <v>133</v>
      </c>
      <c r="X199" s="5">
        <v>46209</v>
      </c>
      <c r="Y199" s="1">
        <f t="shared" si="30"/>
        <v>32</v>
      </c>
      <c r="Z199" s="5">
        <v>46209</v>
      </c>
      <c r="AA199" s="3"/>
      <c r="AB199" s="3"/>
      <c r="AD199" s="133" t="str">
        <f t="shared" si="31"/>
        <v>Closed In July</v>
      </c>
    </row>
    <row r="200" spans="1:30" hidden="1">
      <c r="A200" s="21">
        <v>46177</v>
      </c>
      <c r="B200" s="1">
        <v>2026</v>
      </c>
      <c r="C200" s="8" t="s">
        <v>21</v>
      </c>
      <c r="D200" s="8" t="s">
        <v>134</v>
      </c>
      <c r="E200" s="1"/>
      <c r="F200" s="1" t="s">
        <v>19</v>
      </c>
      <c r="G200" s="11" t="s">
        <v>135</v>
      </c>
      <c r="H200" s="8">
        <v>9578099893</v>
      </c>
      <c r="I200" s="10" t="s">
        <v>25</v>
      </c>
      <c r="J200" s="18" t="s">
        <v>136</v>
      </c>
      <c r="K200" s="8" t="s">
        <v>22</v>
      </c>
      <c r="L200" s="8" t="s">
        <v>23</v>
      </c>
      <c r="M200" s="2" t="s">
        <v>137</v>
      </c>
      <c r="N200" s="1" t="s">
        <v>138</v>
      </c>
      <c r="O200" s="11">
        <v>590</v>
      </c>
      <c r="P200" s="2" t="s">
        <v>363</v>
      </c>
      <c r="Q200" s="12" t="str">
        <f t="shared" si="27"/>
        <v>24</v>
      </c>
      <c r="R200" s="12" t="str">
        <f t="shared" si="28"/>
        <v>11</v>
      </c>
      <c r="S200" s="6" t="s">
        <v>140</v>
      </c>
      <c r="T200" s="1" t="s">
        <v>141</v>
      </c>
      <c r="U200" s="6" t="s">
        <v>142</v>
      </c>
      <c r="V200" s="6" t="s">
        <v>143</v>
      </c>
      <c r="W200" s="1" t="s">
        <v>133</v>
      </c>
      <c r="X200" s="5">
        <v>46209</v>
      </c>
      <c r="Y200" s="1">
        <f t="shared" si="30"/>
        <v>32</v>
      </c>
      <c r="Z200" s="5">
        <v>46209</v>
      </c>
      <c r="AA200" s="3"/>
      <c r="AB200" s="3"/>
      <c r="AD200" s="133" t="str">
        <f t="shared" si="31"/>
        <v>Closed In July</v>
      </c>
    </row>
    <row r="201" spans="1:30" hidden="1">
      <c r="A201" s="21">
        <v>46177</v>
      </c>
      <c r="B201" s="1">
        <v>2026</v>
      </c>
      <c r="C201" s="8" t="s">
        <v>21</v>
      </c>
      <c r="D201" s="8" t="s">
        <v>134</v>
      </c>
      <c r="E201" s="1"/>
      <c r="F201" s="1" t="s">
        <v>19</v>
      </c>
      <c r="G201" s="11" t="s">
        <v>135</v>
      </c>
      <c r="H201" s="8">
        <v>9578099893</v>
      </c>
      <c r="I201" s="10" t="s">
        <v>25</v>
      </c>
      <c r="J201" s="18" t="s">
        <v>136</v>
      </c>
      <c r="K201" s="8" t="s">
        <v>22</v>
      </c>
      <c r="L201" s="8" t="s">
        <v>23</v>
      </c>
      <c r="M201" s="2" t="s">
        <v>137</v>
      </c>
      <c r="N201" s="1" t="s">
        <v>138</v>
      </c>
      <c r="O201" s="11">
        <v>590</v>
      </c>
      <c r="P201" s="2" t="s">
        <v>364</v>
      </c>
      <c r="Q201" s="12" t="str">
        <f t="shared" si="27"/>
        <v>24</v>
      </c>
      <c r="R201" s="12" t="str">
        <f t="shared" si="28"/>
        <v>11</v>
      </c>
      <c r="S201" s="6" t="s">
        <v>140</v>
      </c>
      <c r="T201" s="1" t="s">
        <v>141</v>
      </c>
      <c r="U201" s="6" t="s">
        <v>142</v>
      </c>
      <c r="V201" s="6" t="s">
        <v>143</v>
      </c>
      <c r="W201" s="1" t="s">
        <v>133</v>
      </c>
      <c r="X201" s="5">
        <v>46209</v>
      </c>
      <c r="Y201" s="1">
        <f t="shared" si="30"/>
        <v>32</v>
      </c>
      <c r="Z201" s="5">
        <v>46209</v>
      </c>
      <c r="AA201" s="3"/>
      <c r="AB201" s="3"/>
      <c r="AD201" s="133" t="str">
        <f t="shared" si="31"/>
        <v>Closed In July</v>
      </c>
    </row>
    <row r="202" spans="1:30" hidden="1">
      <c r="A202" s="21">
        <v>46177</v>
      </c>
      <c r="B202" s="1">
        <v>2026</v>
      </c>
      <c r="C202" s="8" t="s">
        <v>21</v>
      </c>
      <c r="D202" s="8" t="s">
        <v>134</v>
      </c>
      <c r="E202" s="1"/>
      <c r="F202" s="1" t="s">
        <v>19</v>
      </c>
      <c r="G202" s="11" t="s">
        <v>135</v>
      </c>
      <c r="H202" s="8">
        <v>9578099893</v>
      </c>
      <c r="I202" s="10" t="s">
        <v>25</v>
      </c>
      <c r="J202" s="18" t="s">
        <v>136</v>
      </c>
      <c r="K202" s="8" t="s">
        <v>22</v>
      </c>
      <c r="L202" s="8" t="s">
        <v>23</v>
      </c>
      <c r="M202" s="2" t="s">
        <v>137</v>
      </c>
      <c r="N202" s="1" t="s">
        <v>138</v>
      </c>
      <c r="O202" s="11">
        <v>590</v>
      </c>
      <c r="P202" s="2" t="s">
        <v>365</v>
      </c>
      <c r="Q202" s="12" t="str">
        <f t="shared" si="27"/>
        <v>24</v>
      </c>
      <c r="R202" s="12" t="str">
        <f t="shared" si="28"/>
        <v>11</v>
      </c>
      <c r="S202" s="6" t="s">
        <v>140</v>
      </c>
      <c r="T202" s="1" t="s">
        <v>141</v>
      </c>
      <c r="U202" s="6" t="s">
        <v>142</v>
      </c>
      <c r="V202" s="6" t="s">
        <v>143</v>
      </c>
      <c r="W202" s="1" t="s">
        <v>133</v>
      </c>
      <c r="X202" s="5">
        <v>46209</v>
      </c>
      <c r="Y202" s="1">
        <f t="shared" si="30"/>
        <v>32</v>
      </c>
      <c r="Z202" s="5">
        <v>46209</v>
      </c>
      <c r="AA202" s="3"/>
      <c r="AB202" s="3"/>
      <c r="AD202" s="133" t="str">
        <f t="shared" si="31"/>
        <v>Closed In July</v>
      </c>
    </row>
    <row r="203" spans="1:30" hidden="1">
      <c r="A203" s="21">
        <v>46177</v>
      </c>
      <c r="B203" s="1">
        <v>2026</v>
      </c>
      <c r="C203" s="8" t="s">
        <v>21</v>
      </c>
      <c r="D203" s="8" t="s">
        <v>134</v>
      </c>
      <c r="E203" s="1"/>
      <c r="F203" s="1" t="s">
        <v>19</v>
      </c>
      <c r="G203" s="11" t="s">
        <v>135</v>
      </c>
      <c r="H203" s="8">
        <v>9578099893</v>
      </c>
      <c r="I203" s="10" t="s">
        <v>25</v>
      </c>
      <c r="J203" s="18" t="s">
        <v>136</v>
      </c>
      <c r="K203" s="8" t="s">
        <v>22</v>
      </c>
      <c r="L203" s="8" t="s">
        <v>23</v>
      </c>
      <c r="M203" s="2" t="s">
        <v>126</v>
      </c>
      <c r="N203" s="1" t="s">
        <v>127</v>
      </c>
      <c r="O203" s="11">
        <v>590</v>
      </c>
      <c r="P203" s="2" t="s">
        <v>366</v>
      </c>
      <c r="Q203" s="12" t="str">
        <f t="shared" si="27"/>
        <v>24</v>
      </c>
      <c r="R203" s="12" t="str">
        <f t="shared" si="28"/>
        <v>11</v>
      </c>
      <c r="S203" s="6" t="s">
        <v>140</v>
      </c>
      <c r="T203" s="1" t="s">
        <v>141</v>
      </c>
      <c r="U203" s="6" t="s">
        <v>145</v>
      </c>
      <c r="V203" s="6" t="s">
        <v>132</v>
      </c>
      <c r="W203" s="1" t="s">
        <v>133</v>
      </c>
      <c r="X203" s="5">
        <v>46209</v>
      </c>
      <c r="Y203" s="1">
        <f t="shared" si="30"/>
        <v>32</v>
      </c>
      <c r="Z203" s="5">
        <v>46209</v>
      </c>
      <c r="AA203" s="3"/>
      <c r="AB203" s="3"/>
      <c r="AD203" s="133" t="str">
        <f t="shared" si="31"/>
        <v>Closed In July</v>
      </c>
    </row>
    <row r="204" spans="1:30" hidden="1">
      <c r="A204" s="21">
        <v>46177</v>
      </c>
      <c r="B204" s="1">
        <v>2026</v>
      </c>
      <c r="C204" s="8" t="s">
        <v>21</v>
      </c>
      <c r="D204" s="8" t="s">
        <v>134</v>
      </c>
      <c r="E204" s="1"/>
      <c r="F204" s="1" t="s">
        <v>19</v>
      </c>
      <c r="G204" s="11" t="s">
        <v>135</v>
      </c>
      <c r="H204" s="8">
        <v>9578099893</v>
      </c>
      <c r="I204" s="10" t="s">
        <v>25</v>
      </c>
      <c r="J204" s="18" t="s">
        <v>136</v>
      </c>
      <c r="K204" s="8" t="s">
        <v>22</v>
      </c>
      <c r="L204" s="8" t="s">
        <v>23</v>
      </c>
      <c r="M204" s="2" t="s">
        <v>146</v>
      </c>
      <c r="N204" s="1" t="s">
        <v>138</v>
      </c>
      <c r="O204" s="11">
        <v>590</v>
      </c>
      <c r="P204" s="2" t="s">
        <v>367</v>
      </c>
      <c r="Q204" s="12" t="str">
        <f t="shared" si="27"/>
        <v>24</v>
      </c>
      <c r="R204" s="12" t="str">
        <f t="shared" si="28"/>
        <v>11</v>
      </c>
      <c r="S204" s="6" t="s">
        <v>140</v>
      </c>
      <c r="T204" s="1" t="s">
        <v>141</v>
      </c>
      <c r="U204" s="1" t="s">
        <v>148</v>
      </c>
      <c r="V204" s="1" t="s">
        <v>143</v>
      </c>
      <c r="W204" s="1" t="s">
        <v>133</v>
      </c>
      <c r="X204" s="5">
        <v>46209</v>
      </c>
      <c r="Y204" s="1">
        <f t="shared" si="30"/>
        <v>32</v>
      </c>
      <c r="Z204" s="5">
        <v>46209</v>
      </c>
      <c r="AA204" s="3"/>
      <c r="AB204" s="3"/>
      <c r="AD204" s="133" t="str">
        <f t="shared" si="31"/>
        <v>Closed In July</v>
      </c>
    </row>
    <row r="205" spans="1:30" hidden="1">
      <c r="A205" s="21">
        <v>46177</v>
      </c>
      <c r="B205" s="1">
        <v>2026</v>
      </c>
      <c r="C205" s="8" t="s">
        <v>21</v>
      </c>
      <c r="D205" s="8" t="s">
        <v>134</v>
      </c>
      <c r="E205" s="1"/>
      <c r="F205" s="1" t="s">
        <v>19</v>
      </c>
      <c r="G205" s="11" t="s">
        <v>135</v>
      </c>
      <c r="H205" s="8">
        <v>9578099893</v>
      </c>
      <c r="I205" s="10" t="s">
        <v>25</v>
      </c>
      <c r="J205" s="18" t="s">
        <v>136</v>
      </c>
      <c r="K205" s="8" t="s">
        <v>22</v>
      </c>
      <c r="L205" s="8" t="s">
        <v>23</v>
      </c>
      <c r="M205" s="2" t="s">
        <v>137</v>
      </c>
      <c r="N205" s="1" t="s">
        <v>138</v>
      </c>
      <c r="O205" s="11">
        <v>590</v>
      </c>
      <c r="P205" s="2" t="s">
        <v>368</v>
      </c>
      <c r="Q205" s="12" t="str">
        <f t="shared" si="27"/>
        <v>24</v>
      </c>
      <c r="R205" s="12" t="str">
        <f t="shared" si="28"/>
        <v>11</v>
      </c>
      <c r="S205" s="6" t="s">
        <v>140</v>
      </c>
      <c r="T205" s="1" t="s">
        <v>141</v>
      </c>
      <c r="U205" s="6" t="s">
        <v>142</v>
      </c>
      <c r="V205" s="6" t="s">
        <v>143</v>
      </c>
      <c r="W205" s="1" t="s">
        <v>133</v>
      </c>
      <c r="X205" s="5">
        <v>46209</v>
      </c>
      <c r="Y205" s="1">
        <f t="shared" si="30"/>
        <v>32</v>
      </c>
      <c r="Z205" s="5">
        <v>46209</v>
      </c>
      <c r="AA205" s="3"/>
      <c r="AB205" s="3"/>
      <c r="AD205" s="133" t="str">
        <f t="shared" si="31"/>
        <v>Closed In July</v>
      </c>
    </row>
    <row r="206" spans="1:30" hidden="1">
      <c r="A206" s="21">
        <v>46177</v>
      </c>
      <c r="B206" s="1">
        <v>2026</v>
      </c>
      <c r="C206" s="8" t="s">
        <v>21</v>
      </c>
      <c r="D206" s="8" t="s">
        <v>134</v>
      </c>
      <c r="E206" s="1"/>
      <c r="F206" s="1" t="s">
        <v>19</v>
      </c>
      <c r="G206" s="11" t="s">
        <v>135</v>
      </c>
      <c r="H206" s="8">
        <v>9578099893</v>
      </c>
      <c r="I206" s="10" t="s">
        <v>25</v>
      </c>
      <c r="J206" s="18" t="s">
        <v>136</v>
      </c>
      <c r="K206" s="8" t="s">
        <v>22</v>
      </c>
      <c r="L206" s="8" t="s">
        <v>23</v>
      </c>
      <c r="M206" s="2" t="s">
        <v>137</v>
      </c>
      <c r="N206" s="1" t="s">
        <v>138</v>
      </c>
      <c r="O206" s="11">
        <v>590</v>
      </c>
      <c r="P206" s="2" t="s">
        <v>369</v>
      </c>
      <c r="Q206" s="12" t="str">
        <f t="shared" si="27"/>
        <v>24</v>
      </c>
      <c r="R206" s="12" t="str">
        <f t="shared" si="28"/>
        <v>11</v>
      </c>
      <c r="S206" s="6" t="s">
        <v>140</v>
      </c>
      <c r="T206" s="1" t="s">
        <v>141</v>
      </c>
      <c r="U206" s="6" t="s">
        <v>142</v>
      </c>
      <c r="V206" s="6" t="s">
        <v>143</v>
      </c>
      <c r="W206" s="1" t="s">
        <v>133</v>
      </c>
      <c r="X206" s="5">
        <v>46209</v>
      </c>
      <c r="Y206" s="1">
        <f t="shared" si="30"/>
        <v>32</v>
      </c>
      <c r="Z206" s="5">
        <v>46209</v>
      </c>
      <c r="AA206" s="3"/>
      <c r="AB206" s="3"/>
      <c r="AD206" s="133" t="str">
        <f t="shared" si="31"/>
        <v>Closed In July</v>
      </c>
    </row>
    <row r="207" spans="1:30" hidden="1">
      <c r="A207" s="21">
        <v>46177</v>
      </c>
      <c r="B207" s="1">
        <v>2026</v>
      </c>
      <c r="C207" s="8" t="s">
        <v>21</v>
      </c>
      <c r="D207" s="8" t="s">
        <v>134</v>
      </c>
      <c r="E207" s="1"/>
      <c r="F207" s="1" t="s">
        <v>19</v>
      </c>
      <c r="G207" s="11" t="s">
        <v>135</v>
      </c>
      <c r="H207" s="8">
        <v>9578099893</v>
      </c>
      <c r="I207" s="10" t="s">
        <v>25</v>
      </c>
      <c r="J207" s="18" t="s">
        <v>136</v>
      </c>
      <c r="K207" s="8" t="s">
        <v>22</v>
      </c>
      <c r="L207" s="8" t="s">
        <v>23</v>
      </c>
      <c r="M207" s="2" t="s">
        <v>146</v>
      </c>
      <c r="N207" s="1" t="s">
        <v>138</v>
      </c>
      <c r="O207" s="11">
        <v>590</v>
      </c>
      <c r="P207" s="2" t="s">
        <v>370</v>
      </c>
      <c r="Q207" s="12" t="str">
        <f t="shared" si="27"/>
        <v>24</v>
      </c>
      <c r="R207" s="12" t="str">
        <f t="shared" si="28"/>
        <v>11</v>
      </c>
      <c r="S207" s="6" t="s">
        <v>140</v>
      </c>
      <c r="T207" s="1" t="s">
        <v>141</v>
      </c>
      <c r="U207" s="1" t="s">
        <v>148</v>
      </c>
      <c r="V207" s="1" t="s">
        <v>143</v>
      </c>
      <c r="W207" s="1" t="s">
        <v>133</v>
      </c>
      <c r="X207" s="5">
        <v>46209</v>
      </c>
      <c r="Y207" s="1">
        <f t="shared" si="30"/>
        <v>32</v>
      </c>
      <c r="Z207" s="5">
        <v>46209</v>
      </c>
      <c r="AA207" s="3"/>
      <c r="AB207" s="3"/>
      <c r="AD207" s="133" t="str">
        <f t="shared" si="31"/>
        <v>Closed In July</v>
      </c>
    </row>
    <row r="208" spans="1:30" hidden="1">
      <c r="A208" s="21">
        <v>46177</v>
      </c>
      <c r="B208" s="1">
        <v>2026</v>
      </c>
      <c r="C208" s="8" t="s">
        <v>21</v>
      </c>
      <c r="D208" s="8" t="s">
        <v>134</v>
      </c>
      <c r="E208" s="1"/>
      <c r="F208" s="1" t="s">
        <v>19</v>
      </c>
      <c r="G208" s="11" t="s">
        <v>135</v>
      </c>
      <c r="H208" s="8">
        <v>9578099893</v>
      </c>
      <c r="I208" s="10" t="s">
        <v>25</v>
      </c>
      <c r="J208" s="18" t="s">
        <v>136</v>
      </c>
      <c r="K208" s="8" t="s">
        <v>22</v>
      </c>
      <c r="L208" s="8" t="s">
        <v>23</v>
      </c>
      <c r="M208" s="2" t="s">
        <v>137</v>
      </c>
      <c r="N208" s="1" t="s">
        <v>138</v>
      </c>
      <c r="O208" s="11">
        <v>590</v>
      </c>
      <c r="P208" s="2" t="s">
        <v>371</v>
      </c>
      <c r="Q208" s="12" t="str">
        <f t="shared" si="27"/>
        <v>24</v>
      </c>
      <c r="R208" s="12" t="str">
        <f t="shared" si="28"/>
        <v>11</v>
      </c>
      <c r="S208" s="6" t="s">
        <v>140</v>
      </c>
      <c r="T208" s="1" t="s">
        <v>141</v>
      </c>
      <c r="U208" s="6" t="s">
        <v>142</v>
      </c>
      <c r="V208" s="6" t="s">
        <v>143</v>
      </c>
      <c r="W208" s="1" t="s">
        <v>133</v>
      </c>
      <c r="X208" s="5">
        <v>46209</v>
      </c>
      <c r="Y208" s="1">
        <f t="shared" si="30"/>
        <v>32</v>
      </c>
      <c r="Z208" s="5">
        <v>46209</v>
      </c>
      <c r="AA208" s="3"/>
      <c r="AB208" s="3"/>
      <c r="AD208" s="133" t="str">
        <f t="shared" si="31"/>
        <v>Closed In July</v>
      </c>
    </row>
    <row r="209" spans="1:30" hidden="1">
      <c r="A209" s="21">
        <v>46177</v>
      </c>
      <c r="B209" s="1">
        <v>2026</v>
      </c>
      <c r="C209" s="8" t="s">
        <v>21</v>
      </c>
      <c r="D209" s="8" t="s">
        <v>134</v>
      </c>
      <c r="E209" s="1"/>
      <c r="F209" s="1" t="s">
        <v>19</v>
      </c>
      <c r="G209" s="11" t="s">
        <v>135</v>
      </c>
      <c r="H209" s="8">
        <v>9578099893</v>
      </c>
      <c r="I209" s="10" t="s">
        <v>25</v>
      </c>
      <c r="J209" s="18" t="s">
        <v>136</v>
      </c>
      <c r="K209" s="8" t="s">
        <v>22</v>
      </c>
      <c r="L209" s="8" t="s">
        <v>23</v>
      </c>
      <c r="M209" s="2" t="s">
        <v>137</v>
      </c>
      <c r="N209" s="1" t="s">
        <v>138</v>
      </c>
      <c r="O209" s="11">
        <v>590</v>
      </c>
      <c r="P209" s="2" t="s">
        <v>372</v>
      </c>
      <c r="Q209" s="12" t="str">
        <f t="shared" si="27"/>
        <v>24</v>
      </c>
      <c r="R209" s="12" t="str">
        <f t="shared" si="28"/>
        <v>11</v>
      </c>
      <c r="S209" s="6" t="s">
        <v>140</v>
      </c>
      <c r="T209" s="1" t="s">
        <v>141</v>
      </c>
      <c r="U209" s="6" t="s">
        <v>142</v>
      </c>
      <c r="V209" s="6" t="s">
        <v>143</v>
      </c>
      <c r="W209" s="1" t="s">
        <v>133</v>
      </c>
      <c r="X209" s="5">
        <v>46209</v>
      </c>
      <c r="Y209" s="1">
        <f t="shared" si="30"/>
        <v>32</v>
      </c>
      <c r="Z209" s="5">
        <v>46209</v>
      </c>
      <c r="AA209" s="3"/>
      <c r="AB209" s="3"/>
      <c r="AD209" s="133" t="str">
        <f t="shared" si="31"/>
        <v>Closed In July</v>
      </c>
    </row>
    <row r="210" spans="1:30" hidden="1">
      <c r="A210" s="21">
        <v>46177</v>
      </c>
      <c r="B210" s="1">
        <v>2026</v>
      </c>
      <c r="C210" s="8" t="s">
        <v>21</v>
      </c>
      <c r="D210" s="8" t="s">
        <v>134</v>
      </c>
      <c r="E210" s="1"/>
      <c r="F210" s="1" t="s">
        <v>19</v>
      </c>
      <c r="G210" s="11" t="s">
        <v>135</v>
      </c>
      <c r="H210" s="8">
        <v>9578099893</v>
      </c>
      <c r="I210" s="10" t="s">
        <v>25</v>
      </c>
      <c r="J210" s="18" t="s">
        <v>136</v>
      </c>
      <c r="K210" s="8" t="s">
        <v>22</v>
      </c>
      <c r="L210" s="8" t="s">
        <v>23</v>
      </c>
      <c r="M210" s="2" t="s">
        <v>137</v>
      </c>
      <c r="N210" s="1" t="s">
        <v>138</v>
      </c>
      <c r="O210" s="11">
        <v>590</v>
      </c>
      <c r="P210" s="2" t="s">
        <v>373</v>
      </c>
      <c r="Q210" s="12" t="str">
        <f t="shared" si="27"/>
        <v>24</v>
      </c>
      <c r="R210" s="12" t="str">
        <f t="shared" si="28"/>
        <v>11</v>
      </c>
      <c r="S210" s="6" t="s">
        <v>140</v>
      </c>
      <c r="T210" s="1" t="s">
        <v>141</v>
      </c>
      <c r="U210" s="6" t="s">
        <v>142</v>
      </c>
      <c r="V210" s="6" t="s">
        <v>143</v>
      </c>
      <c r="W210" s="1" t="s">
        <v>133</v>
      </c>
      <c r="X210" s="5">
        <v>46209</v>
      </c>
      <c r="Y210" s="1">
        <f t="shared" si="30"/>
        <v>32</v>
      </c>
      <c r="Z210" s="5">
        <v>46209</v>
      </c>
      <c r="AA210" s="3"/>
      <c r="AB210" s="3"/>
      <c r="AD210" s="133" t="str">
        <f t="shared" si="31"/>
        <v>Closed In July</v>
      </c>
    </row>
    <row r="211" spans="1:30" hidden="1">
      <c r="A211" s="21">
        <v>46177</v>
      </c>
      <c r="B211" s="1">
        <v>2026</v>
      </c>
      <c r="C211" s="8" t="s">
        <v>21</v>
      </c>
      <c r="D211" s="8" t="s">
        <v>134</v>
      </c>
      <c r="E211" s="1"/>
      <c r="F211" s="1" t="s">
        <v>19</v>
      </c>
      <c r="G211" s="11" t="s">
        <v>135</v>
      </c>
      <c r="H211" s="8">
        <v>9578099893</v>
      </c>
      <c r="I211" s="10" t="s">
        <v>25</v>
      </c>
      <c r="J211" s="18" t="s">
        <v>136</v>
      </c>
      <c r="K211" s="8" t="s">
        <v>22</v>
      </c>
      <c r="L211" s="8" t="s">
        <v>23</v>
      </c>
      <c r="M211" s="2" t="s">
        <v>146</v>
      </c>
      <c r="N211" s="1" t="s">
        <v>138</v>
      </c>
      <c r="O211" s="11">
        <v>590</v>
      </c>
      <c r="P211" s="2" t="s">
        <v>374</v>
      </c>
      <c r="Q211" s="12" t="str">
        <f t="shared" si="27"/>
        <v>24</v>
      </c>
      <c r="R211" s="12" t="str">
        <f t="shared" si="28"/>
        <v>11</v>
      </c>
      <c r="S211" s="6" t="s">
        <v>140</v>
      </c>
      <c r="T211" s="1" t="s">
        <v>141</v>
      </c>
      <c r="U211" s="1" t="s">
        <v>148</v>
      </c>
      <c r="V211" s="1" t="s">
        <v>143</v>
      </c>
      <c r="W211" s="1" t="s">
        <v>133</v>
      </c>
      <c r="X211" s="5">
        <v>46209</v>
      </c>
      <c r="Y211" s="1">
        <f t="shared" si="30"/>
        <v>32</v>
      </c>
      <c r="Z211" s="5">
        <v>46209</v>
      </c>
      <c r="AA211" s="3"/>
      <c r="AB211" s="3"/>
      <c r="AD211" s="133" t="str">
        <f t="shared" si="31"/>
        <v>Closed In July</v>
      </c>
    </row>
    <row r="212" spans="1:30" hidden="1">
      <c r="A212" s="21">
        <v>46177</v>
      </c>
      <c r="B212" s="1">
        <v>2026</v>
      </c>
      <c r="C212" s="8" t="s">
        <v>21</v>
      </c>
      <c r="D212" s="8" t="s">
        <v>134</v>
      </c>
      <c r="E212" s="1"/>
      <c r="F212" s="1" t="s">
        <v>19</v>
      </c>
      <c r="G212" s="11" t="s">
        <v>135</v>
      </c>
      <c r="H212" s="8">
        <v>9578099893</v>
      </c>
      <c r="I212" s="10" t="s">
        <v>25</v>
      </c>
      <c r="J212" s="18" t="s">
        <v>136</v>
      </c>
      <c r="K212" s="8" t="s">
        <v>22</v>
      </c>
      <c r="L212" s="8" t="s">
        <v>23</v>
      </c>
      <c r="M212" s="2" t="s">
        <v>308</v>
      </c>
      <c r="N212" s="1" t="s">
        <v>127</v>
      </c>
      <c r="O212" s="11">
        <v>590</v>
      </c>
      <c r="P212" s="2" t="s">
        <v>375</v>
      </c>
      <c r="Q212" s="12" t="str">
        <f t="shared" si="27"/>
        <v>24</v>
      </c>
      <c r="R212" s="12" t="str">
        <f t="shared" si="28"/>
        <v>11</v>
      </c>
      <c r="S212" s="6" t="s">
        <v>140</v>
      </c>
      <c r="T212" s="1" t="s">
        <v>141</v>
      </c>
      <c r="U212" s="6" t="s">
        <v>310</v>
      </c>
      <c r="V212" s="6" t="s">
        <v>132</v>
      </c>
      <c r="W212" s="1" t="s">
        <v>133</v>
      </c>
      <c r="X212" s="5">
        <v>46209</v>
      </c>
      <c r="Y212" s="1">
        <f t="shared" si="30"/>
        <v>32</v>
      </c>
      <c r="Z212" s="5">
        <v>46209</v>
      </c>
      <c r="AA212" s="3"/>
      <c r="AB212" s="3"/>
      <c r="AD212" s="133" t="str">
        <f t="shared" si="31"/>
        <v>Closed In July</v>
      </c>
    </row>
    <row r="213" spans="1:30" hidden="1">
      <c r="A213" s="21">
        <v>46177</v>
      </c>
      <c r="B213" s="1">
        <v>2026</v>
      </c>
      <c r="C213" s="8" t="s">
        <v>21</v>
      </c>
      <c r="D213" s="8" t="s">
        <v>134</v>
      </c>
      <c r="E213" s="1"/>
      <c r="F213" s="1" t="s">
        <v>19</v>
      </c>
      <c r="G213" s="11" t="s">
        <v>135</v>
      </c>
      <c r="H213" s="8">
        <v>9578099893</v>
      </c>
      <c r="I213" s="10" t="s">
        <v>25</v>
      </c>
      <c r="J213" s="18" t="s">
        <v>136</v>
      </c>
      <c r="K213" s="8" t="s">
        <v>22</v>
      </c>
      <c r="L213" s="8" t="s">
        <v>23</v>
      </c>
      <c r="M213" s="2" t="s">
        <v>146</v>
      </c>
      <c r="N213" s="1" t="s">
        <v>138</v>
      </c>
      <c r="O213" s="11">
        <v>590</v>
      </c>
      <c r="P213" s="2" t="s">
        <v>376</v>
      </c>
      <c r="Q213" s="12" t="str">
        <f t="shared" si="27"/>
        <v>24</v>
      </c>
      <c r="R213" s="12" t="str">
        <f t="shared" si="28"/>
        <v>11</v>
      </c>
      <c r="S213" s="6" t="s">
        <v>140</v>
      </c>
      <c r="T213" s="1" t="s">
        <v>141</v>
      </c>
      <c r="U213" s="1" t="s">
        <v>148</v>
      </c>
      <c r="V213" s="1" t="s">
        <v>143</v>
      </c>
      <c r="W213" s="1" t="s">
        <v>133</v>
      </c>
      <c r="X213" s="5">
        <v>46209</v>
      </c>
      <c r="Y213" s="1">
        <f t="shared" si="30"/>
        <v>32</v>
      </c>
      <c r="Z213" s="5">
        <v>46209</v>
      </c>
      <c r="AA213" s="3"/>
      <c r="AB213" s="3"/>
      <c r="AD213" s="133" t="str">
        <f t="shared" si="31"/>
        <v>Closed In July</v>
      </c>
    </row>
    <row r="214" spans="1:30" hidden="1">
      <c r="A214" s="21">
        <v>46177</v>
      </c>
      <c r="B214" s="1">
        <v>2026</v>
      </c>
      <c r="C214" s="8" t="s">
        <v>21</v>
      </c>
      <c r="D214" s="8" t="s">
        <v>134</v>
      </c>
      <c r="E214" s="1"/>
      <c r="F214" s="1" t="s">
        <v>19</v>
      </c>
      <c r="G214" s="11" t="s">
        <v>135</v>
      </c>
      <c r="H214" s="8">
        <v>9578099893</v>
      </c>
      <c r="I214" s="10" t="s">
        <v>25</v>
      </c>
      <c r="J214" s="18" t="s">
        <v>136</v>
      </c>
      <c r="K214" s="8" t="s">
        <v>22</v>
      </c>
      <c r="L214" s="8" t="s">
        <v>23</v>
      </c>
      <c r="M214" s="2" t="s">
        <v>146</v>
      </c>
      <c r="N214" s="1" t="s">
        <v>138</v>
      </c>
      <c r="O214" s="11">
        <v>590</v>
      </c>
      <c r="P214" s="2" t="s">
        <v>377</v>
      </c>
      <c r="Q214" s="12" t="str">
        <f t="shared" si="27"/>
        <v>24</v>
      </c>
      <c r="R214" s="12" t="str">
        <f t="shared" si="28"/>
        <v>11</v>
      </c>
      <c r="S214" s="6" t="s">
        <v>140</v>
      </c>
      <c r="T214" s="1" t="s">
        <v>141</v>
      </c>
      <c r="U214" s="1" t="s">
        <v>148</v>
      </c>
      <c r="V214" s="1" t="s">
        <v>143</v>
      </c>
      <c r="W214" s="1" t="s">
        <v>133</v>
      </c>
      <c r="X214" s="5">
        <v>46209</v>
      </c>
      <c r="Y214" s="1">
        <f t="shared" si="30"/>
        <v>32</v>
      </c>
      <c r="Z214" s="5">
        <v>46209</v>
      </c>
      <c r="AA214" s="3"/>
      <c r="AB214" s="3"/>
      <c r="AD214" s="133" t="str">
        <f t="shared" si="31"/>
        <v>Closed In July</v>
      </c>
    </row>
    <row r="215" spans="1:30" hidden="1">
      <c r="A215" s="21">
        <v>46177</v>
      </c>
      <c r="B215" s="1">
        <v>2026</v>
      </c>
      <c r="C215" s="8" t="s">
        <v>21</v>
      </c>
      <c r="D215" s="8" t="s">
        <v>134</v>
      </c>
      <c r="E215" s="1"/>
      <c r="F215" s="1" t="s">
        <v>19</v>
      </c>
      <c r="G215" s="11" t="s">
        <v>135</v>
      </c>
      <c r="H215" s="8">
        <v>9578099893</v>
      </c>
      <c r="I215" s="10" t="s">
        <v>25</v>
      </c>
      <c r="J215" s="18" t="s">
        <v>136</v>
      </c>
      <c r="K215" s="8" t="s">
        <v>22</v>
      </c>
      <c r="L215" s="8" t="s">
        <v>23</v>
      </c>
      <c r="M215" s="2" t="s">
        <v>137</v>
      </c>
      <c r="N215" s="1" t="s">
        <v>138</v>
      </c>
      <c r="O215" s="11">
        <v>590</v>
      </c>
      <c r="P215" s="2" t="s">
        <v>378</v>
      </c>
      <c r="Q215" s="12" t="str">
        <f t="shared" si="27"/>
        <v>24</v>
      </c>
      <c r="R215" s="12" t="str">
        <f t="shared" si="28"/>
        <v>11</v>
      </c>
      <c r="S215" s="6" t="s">
        <v>140</v>
      </c>
      <c r="T215" s="1" t="s">
        <v>141</v>
      </c>
      <c r="U215" s="6" t="s">
        <v>142</v>
      </c>
      <c r="V215" s="6" t="s">
        <v>143</v>
      </c>
      <c r="W215" s="1" t="s">
        <v>133</v>
      </c>
      <c r="X215" s="5">
        <v>46209</v>
      </c>
      <c r="Y215" s="1">
        <f t="shared" si="30"/>
        <v>32</v>
      </c>
      <c r="Z215" s="5">
        <v>46209</v>
      </c>
      <c r="AA215" s="3"/>
      <c r="AB215" s="3"/>
      <c r="AD215" s="133" t="str">
        <f t="shared" si="31"/>
        <v>Closed In July</v>
      </c>
    </row>
    <row r="216" spans="1:30" hidden="1">
      <c r="A216" s="21">
        <v>46177</v>
      </c>
      <c r="B216" s="1">
        <v>2026</v>
      </c>
      <c r="C216" s="8" t="s">
        <v>21</v>
      </c>
      <c r="D216" s="8" t="s">
        <v>134</v>
      </c>
      <c r="E216" s="1"/>
      <c r="F216" s="1" t="s">
        <v>19</v>
      </c>
      <c r="G216" s="11" t="s">
        <v>135</v>
      </c>
      <c r="H216" s="8">
        <v>9578099893</v>
      </c>
      <c r="I216" s="10" t="s">
        <v>25</v>
      </c>
      <c r="J216" s="18" t="s">
        <v>136</v>
      </c>
      <c r="K216" s="8" t="s">
        <v>22</v>
      </c>
      <c r="L216" s="8" t="s">
        <v>23</v>
      </c>
      <c r="M216" s="2" t="s">
        <v>137</v>
      </c>
      <c r="N216" s="1" t="s">
        <v>138</v>
      </c>
      <c r="O216" s="11">
        <v>590</v>
      </c>
      <c r="P216" s="2" t="s">
        <v>379</v>
      </c>
      <c r="Q216" s="12" t="str">
        <f t="shared" si="27"/>
        <v>24</v>
      </c>
      <c r="R216" s="12" t="str">
        <f t="shared" si="28"/>
        <v>11</v>
      </c>
      <c r="S216" s="6" t="s">
        <v>140</v>
      </c>
      <c r="T216" s="1" t="s">
        <v>141</v>
      </c>
      <c r="U216" s="6" t="s">
        <v>142</v>
      </c>
      <c r="V216" s="6" t="s">
        <v>143</v>
      </c>
      <c r="W216" s="1" t="s">
        <v>133</v>
      </c>
      <c r="X216" s="5">
        <v>46209</v>
      </c>
      <c r="Y216" s="1">
        <f t="shared" si="30"/>
        <v>32</v>
      </c>
      <c r="Z216" s="5">
        <v>46209</v>
      </c>
      <c r="AA216" s="3"/>
      <c r="AB216" s="3"/>
      <c r="AD216" s="133" t="str">
        <f t="shared" si="31"/>
        <v>Closed In July</v>
      </c>
    </row>
    <row r="217" spans="1:30" hidden="1">
      <c r="A217" s="21">
        <v>46177</v>
      </c>
      <c r="B217" s="1">
        <v>2026</v>
      </c>
      <c r="C217" s="8" t="s">
        <v>21</v>
      </c>
      <c r="D217" s="8" t="s">
        <v>134</v>
      </c>
      <c r="E217" s="1"/>
      <c r="F217" s="1" t="s">
        <v>19</v>
      </c>
      <c r="G217" s="11" t="s">
        <v>135</v>
      </c>
      <c r="H217" s="8">
        <v>9578099893</v>
      </c>
      <c r="I217" s="10" t="s">
        <v>25</v>
      </c>
      <c r="J217" s="18" t="s">
        <v>136</v>
      </c>
      <c r="K217" s="8" t="s">
        <v>22</v>
      </c>
      <c r="L217" s="8" t="s">
        <v>23</v>
      </c>
      <c r="M217" s="2" t="s">
        <v>137</v>
      </c>
      <c r="N217" s="1" t="s">
        <v>138</v>
      </c>
      <c r="O217" s="11">
        <v>590</v>
      </c>
      <c r="P217" s="2" t="s">
        <v>380</v>
      </c>
      <c r="Q217" s="12" t="str">
        <f t="shared" si="27"/>
        <v>24</v>
      </c>
      <c r="R217" s="12" t="str">
        <f t="shared" si="28"/>
        <v>11</v>
      </c>
      <c r="S217" s="6" t="s">
        <v>140</v>
      </c>
      <c r="T217" s="1" t="s">
        <v>141</v>
      </c>
      <c r="U217" s="6" t="s">
        <v>142</v>
      </c>
      <c r="V217" s="6" t="s">
        <v>143</v>
      </c>
      <c r="W217" s="1" t="s">
        <v>133</v>
      </c>
      <c r="X217" s="5">
        <v>46209</v>
      </c>
      <c r="Y217" s="1">
        <f t="shared" si="30"/>
        <v>32</v>
      </c>
      <c r="Z217" s="5">
        <v>46209</v>
      </c>
      <c r="AA217" s="3"/>
      <c r="AB217" s="3"/>
      <c r="AD217" s="133" t="str">
        <f t="shared" si="31"/>
        <v>Closed In July</v>
      </c>
    </row>
    <row r="218" spans="1:30" hidden="1">
      <c r="A218" s="21">
        <v>46177</v>
      </c>
      <c r="B218" s="1">
        <v>2026</v>
      </c>
      <c r="C218" s="8" t="s">
        <v>21</v>
      </c>
      <c r="D218" s="8" t="s">
        <v>134</v>
      </c>
      <c r="E218" s="1"/>
      <c r="F218" s="1" t="s">
        <v>19</v>
      </c>
      <c r="G218" s="11" t="s">
        <v>135</v>
      </c>
      <c r="H218" s="8">
        <v>9578099893</v>
      </c>
      <c r="I218" s="10" t="s">
        <v>25</v>
      </c>
      <c r="J218" s="18" t="s">
        <v>136</v>
      </c>
      <c r="K218" s="8" t="s">
        <v>22</v>
      </c>
      <c r="L218" s="8" t="s">
        <v>23</v>
      </c>
      <c r="M218" s="2" t="s">
        <v>137</v>
      </c>
      <c r="N218" s="1" t="s">
        <v>138</v>
      </c>
      <c r="O218" s="11">
        <v>590</v>
      </c>
      <c r="P218" s="2" t="s">
        <v>381</v>
      </c>
      <c r="Q218" s="12" t="str">
        <f t="shared" si="27"/>
        <v>24</v>
      </c>
      <c r="R218" s="12" t="str">
        <f t="shared" si="28"/>
        <v>11</v>
      </c>
      <c r="S218" s="6" t="s">
        <v>140</v>
      </c>
      <c r="T218" s="1" t="s">
        <v>141</v>
      </c>
      <c r="U218" s="6" t="s">
        <v>142</v>
      </c>
      <c r="V218" s="6" t="s">
        <v>143</v>
      </c>
      <c r="W218" s="1" t="s">
        <v>133</v>
      </c>
      <c r="X218" s="5">
        <v>46209</v>
      </c>
      <c r="Y218" s="1">
        <f t="shared" si="30"/>
        <v>32</v>
      </c>
      <c r="Z218" s="5">
        <v>46209</v>
      </c>
      <c r="AA218" s="3"/>
      <c r="AB218" s="3"/>
      <c r="AD218" s="133" t="str">
        <f t="shared" si="31"/>
        <v>Closed In July</v>
      </c>
    </row>
    <row r="219" spans="1:30" hidden="1">
      <c r="A219" s="21">
        <v>46177</v>
      </c>
      <c r="B219" s="1">
        <v>2026</v>
      </c>
      <c r="C219" s="8" t="s">
        <v>21</v>
      </c>
      <c r="D219" s="8" t="s">
        <v>134</v>
      </c>
      <c r="E219" s="1"/>
      <c r="F219" s="1" t="s">
        <v>19</v>
      </c>
      <c r="G219" s="11" t="s">
        <v>135</v>
      </c>
      <c r="H219" s="8">
        <v>9578099893</v>
      </c>
      <c r="I219" s="10" t="s">
        <v>25</v>
      </c>
      <c r="J219" s="18" t="s">
        <v>136</v>
      </c>
      <c r="K219" s="8" t="s">
        <v>22</v>
      </c>
      <c r="L219" s="8" t="s">
        <v>23</v>
      </c>
      <c r="M219" s="2" t="s">
        <v>152</v>
      </c>
      <c r="N219" s="1" t="s">
        <v>138</v>
      </c>
      <c r="O219" s="11">
        <v>590</v>
      </c>
      <c r="P219" s="2" t="s">
        <v>382</v>
      </c>
      <c r="Q219" s="12" t="str">
        <f t="shared" si="27"/>
        <v>24</v>
      </c>
      <c r="R219" s="12" t="str">
        <f t="shared" si="28"/>
        <v>11</v>
      </c>
      <c r="S219" s="6" t="s">
        <v>140</v>
      </c>
      <c r="T219" s="1" t="s">
        <v>141</v>
      </c>
      <c r="U219" s="1" t="s">
        <v>154</v>
      </c>
      <c r="V219" s="1" t="s">
        <v>143</v>
      </c>
      <c r="W219" s="1" t="s">
        <v>133</v>
      </c>
      <c r="X219" s="5">
        <v>46209</v>
      </c>
      <c r="Y219" s="1">
        <f t="shared" si="30"/>
        <v>32</v>
      </c>
      <c r="Z219" s="5">
        <v>46209</v>
      </c>
      <c r="AA219" s="3"/>
      <c r="AB219" s="3"/>
      <c r="AD219" s="133" t="str">
        <f t="shared" si="31"/>
        <v>Closed In July</v>
      </c>
    </row>
    <row r="220" spans="1:30" hidden="1">
      <c r="A220" s="21">
        <v>46177</v>
      </c>
      <c r="B220" s="1">
        <v>2026</v>
      </c>
      <c r="C220" s="8" t="s">
        <v>21</v>
      </c>
      <c r="D220" s="8" t="s">
        <v>134</v>
      </c>
      <c r="E220" s="1"/>
      <c r="F220" s="1" t="s">
        <v>19</v>
      </c>
      <c r="G220" s="11" t="s">
        <v>135</v>
      </c>
      <c r="H220" s="8">
        <v>9578099893</v>
      </c>
      <c r="I220" s="10" t="s">
        <v>25</v>
      </c>
      <c r="J220" s="18" t="s">
        <v>136</v>
      </c>
      <c r="K220" s="8" t="s">
        <v>22</v>
      </c>
      <c r="L220" s="8" t="s">
        <v>23</v>
      </c>
      <c r="M220" s="2" t="s">
        <v>152</v>
      </c>
      <c r="N220" s="1" t="s">
        <v>138</v>
      </c>
      <c r="O220" s="11">
        <v>590</v>
      </c>
      <c r="P220" s="2" t="s">
        <v>383</v>
      </c>
      <c r="Q220" s="12" t="str">
        <f t="shared" si="27"/>
        <v>24</v>
      </c>
      <c r="R220" s="12" t="str">
        <f t="shared" si="28"/>
        <v>11</v>
      </c>
      <c r="S220" s="6" t="s">
        <v>140</v>
      </c>
      <c r="T220" s="1" t="s">
        <v>141</v>
      </c>
      <c r="U220" s="1" t="s">
        <v>154</v>
      </c>
      <c r="V220" s="1" t="s">
        <v>143</v>
      </c>
      <c r="W220" s="1" t="s">
        <v>133</v>
      </c>
      <c r="X220" s="5">
        <v>46209</v>
      </c>
      <c r="Y220" s="1">
        <f t="shared" si="30"/>
        <v>32</v>
      </c>
      <c r="Z220" s="5">
        <v>46209</v>
      </c>
      <c r="AA220" s="3"/>
      <c r="AB220" s="3"/>
      <c r="AD220" s="133" t="str">
        <f t="shared" si="31"/>
        <v>Closed In July</v>
      </c>
    </row>
    <row r="221" spans="1:30" hidden="1">
      <c r="A221" s="21">
        <v>46177</v>
      </c>
      <c r="B221" s="1">
        <v>2026</v>
      </c>
      <c r="C221" s="8" t="s">
        <v>21</v>
      </c>
      <c r="D221" s="8" t="s">
        <v>134</v>
      </c>
      <c r="E221" s="1"/>
      <c r="F221" s="1" t="s">
        <v>19</v>
      </c>
      <c r="G221" s="11" t="s">
        <v>135</v>
      </c>
      <c r="H221" s="8">
        <v>9578099893</v>
      </c>
      <c r="I221" s="10" t="s">
        <v>25</v>
      </c>
      <c r="J221" s="18" t="s">
        <v>136</v>
      </c>
      <c r="K221" s="8" t="s">
        <v>22</v>
      </c>
      <c r="L221" s="8" t="s">
        <v>23</v>
      </c>
      <c r="M221" s="2" t="s">
        <v>137</v>
      </c>
      <c r="N221" s="1" t="s">
        <v>138</v>
      </c>
      <c r="O221" s="11">
        <v>590</v>
      </c>
      <c r="P221" s="2" t="s">
        <v>384</v>
      </c>
      <c r="Q221" s="12" t="str">
        <f t="shared" si="27"/>
        <v>24</v>
      </c>
      <c r="R221" s="12" t="str">
        <f t="shared" si="28"/>
        <v>11</v>
      </c>
      <c r="S221" s="6" t="s">
        <v>140</v>
      </c>
      <c r="T221" s="1" t="s">
        <v>141</v>
      </c>
      <c r="U221" s="6" t="s">
        <v>142</v>
      </c>
      <c r="V221" s="6" t="s">
        <v>143</v>
      </c>
      <c r="W221" s="1" t="s">
        <v>133</v>
      </c>
      <c r="X221" s="5">
        <v>46209</v>
      </c>
      <c r="Y221" s="1">
        <f t="shared" si="30"/>
        <v>32</v>
      </c>
      <c r="Z221" s="5">
        <v>46209</v>
      </c>
      <c r="AA221" s="3"/>
      <c r="AB221" s="3"/>
      <c r="AD221" s="133" t="str">
        <f t="shared" si="31"/>
        <v>Closed In July</v>
      </c>
    </row>
    <row r="222" spans="1:30" hidden="1">
      <c r="A222" s="21">
        <v>46177</v>
      </c>
      <c r="B222" s="1">
        <v>2026</v>
      </c>
      <c r="C222" s="8" t="s">
        <v>21</v>
      </c>
      <c r="D222" s="8" t="s">
        <v>134</v>
      </c>
      <c r="E222" s="1"/>
      <c r="F222" s="1" t="s">
        <v>19</v>
      </c>
      <c r="G222" s="11" t="s">
        <v>135</v>
      </c>
      <c r="H222" s="8">
        <v>9578099893</v>
      </c>
      <c r="I222" s="10" t="s">
        <v>25</v>
      </c>
      <c r="J222" s="18" t="s">
        <v>136</v>
      </c>
      <c r="K222" s="8" t="s">
        <v>22</v>
      </c>
      <c r="L222" s="8" t="s">
        <v>23</v>
      </c>
      <c r="M222" s="2" t="s">
        <v>137</v>
      </c>
      <c r="N222" s="1" t="s">
        <v>138</v>
      </c>
      <c r="O222" s="11">
        <v>590</v>
      </c>
      <c r="P222" s="2" t="s">
        <v>385</v>
      </c>
      <c r="Q222" s="12" t="str">
        <f t="shared" si="27"/>
        <v>24</v>
      </c>
      <c r="R222" s="12" t="str">
        <f t="shared" si="28"/>
        <v>11</v>
      </c>
      <c r="S222" s="6" t="s">
        <v>140</v>
      </c>
      <c r="T222" s="1" t="s">
        <v>141</v>
      </c>
      <c r="U222" s="6" t="s">
        <v>142</v>
      </c>
      <c r="V222" s="6" t="s">
        <v>143</v>
      </c>
      <c r="W222" s="1" t="s">
        <v>133</v>
      </c>
      <c r="X222" s="5">
        <v>46209</v>
      </c>
      <c r="Y222" s="1">
        <f t="shared" si="30"/>
        <v>32</v>
      </c>
      <c r="Z222" s="5">
        <v>46209</v>
      </c>
      <c r="AA222" s="3"/>
      <c r="AB222" s="3"/>
      <c r="AD222" s="133" t="str">
        <f t="shared" si="31"/>
        <v>Closed In July</v>
      </c>
    </row>
    <row r="223" spans="1:30" hidden="1">
      <c r="A223" s="21">
        <v>46177</v>
      </c>
      <c r="B223" s="1">
        <v>2026</v>
      </c>
      <c r="C223" s="8" t="s">
        <v>21</v>
      </c>
      <c r="D223" s="8" t="s">
        <v>134</v>
      </c>
      <c r="E223" s="1"/>
      <c r="F223" s="1" t="s">
        <v>19</v>
      </c>
      <c r="G223" s="11" t="s">
        <v>135</v>
      </c>
      <c r="H223" s="8">
        <v>9578099893</v>
      </c>
      <c r="I223" s="10" t="s">
        <v>25</v>
      </c>
      <c r="J223" s="18" t="s">
        <v>136</v>
      </c>
      <c r="K223" s="8" t="s">
        <v>22</v>
      </c>
      <c r="L223" s="8" t="s">
        <v>23</v>
      </c>
      <c r="M223" s="2" t="s">
        <v>137</v>
      </c>
      <c r="N223" s="1" t="s">
        <v>138</v>
      </c>
      <c r="O223" s="11">
        <v>590</v>
      </c>
      <c r="P223" s="2" t="s">
        <v>386</v>
      </c>
      <c r="Q223" s="12" t="str">
        <f t="shared" si="27"/>
        <v>24</v>
      </c>
      <c r="R223" s="12" t="str">
        <f t="shared" si="28"/>
        <v>11</v>
      </c>
      <c r="S223" s="6" t="s">
        <v>140</v>
      </c>
      <c r="T223" s="1" t="s">
        <v>141</v>
      </c>
      <c r="U223" s="6" t="s">
        <v>142</v>
      </c>
      <c r="V223" s="6" t="s">
        <v>143</v>
      </c>
      <c r="W223" s="1" t="s">
        <v>133</v>
      </c>
      <c r="X223" s="5">
        <v>46209</v>
      </c>
      <c r="Y223" s="1">
        <f t="shared" si="30"/>
        <v>32</v>
      </c>
      <c r="Z223" s="5">
        <v>46209</v>
      </c>
      <c r="AA223" s="3"/>
      <c r="AB223" s="3"/>
      <c r="AD223" s="133" t="str">
        <f t="shared" si="31"/>
        <v>Closed In July</v>
      </c>
    </row>
    <row r="224" spans="1:30" hidden="1">
      <c r="A224" s="21">
        <v>46177</v>
      </c>
      <c r="B224" s="1">
        <v>2026</v>
      </c>
      <c r="C224" s="8" t="s">
        <v>21</v>
      </c>
      <c r="D224" s="8" t="s">
        <v>134</v>
      </c>
      <c r="E224" s="1"/>
      <c r="F224" s="1" t="s">
        <v>19</v>
      </c>
      <c r="G224" s="11" t="s">
        <v>135</v>
      </c>
      <c r="H224" s="8">
        <v>9578099893</v>
      </c>
      <c r="I224" s="10" t="s">
        <v>25</v>
      </c>
      <c r="J224" s="18" t="s">
        <v>136</v>
      </c>
      <c r="K224" s="8" t="s">
        <v>22</v>
      </c>
      <c r="L224" s="8" t="s">
        <v>23</v>
      </c>
      <c r="M224" s="2" t="s">
        <v>137</v>
      </c>
      <c r="N224" s="1" t="s">
        <v>138</v>
      </c>
      <c r="O224" s="11">
        <v>590</v>
      </c>
      <c r="P224" s="2" t="s">
        <v>387</v>
      </c>
      <c r="Q224" s="12" t="str">
        <f t="shared" si="27"/>
        <v>24</v>
      </c>
      <c r="R224" s="12" t="str">
        <f t="shared" si="28"/>
        <v>11</v>
      </c>
      <c r="S224" s="6" t="s">
        <v>140</v>
      </c>
      <c r="T224" s="1" t="s">
        <v>141</v>
      </c>
      <c r="U224" s="6" t="s">
        <v>142</v>
      </c>
      <c r="V224" s="6" t="s">
        <v>143</v>
      </c>
      <c r="W224" s="1" t="s">
        <v>133</v>
      </c>
      <c r="X224" s="5">
        <v>46209</v>
      </c>
      <c r="Y224" s="1">
        <f t="shared" si="30"/>
        <v>32</v>
      </c>
      <c r="Z224" s="5">
        <v>46209</v>
      </c>
      <c r="AA224" s="3"/>
      <c r="AB224" s="3"/>
      <c r="AD224" s="133" t="str">
        <f t="shared" si="31"/>
        <v>Closed In July</v>
      </c>
    </row>
    <row r="225" spans="1:30" hidden="1">
      <c r="A225" s="21">
        <v>46177</v>
      </c>
      <c r="B225" s="1">
        <v>2026</v>
      </c>
      <c r="C225" s="8" t="s">
        <v>21</v>
      </c>
      <c r="D225" s="8" t="s">
        <v>134</v>
      </c>
      <c r="E225" s="1"/>
      <c r="F225" s="1" t="s">
        <v>19</v>
      </c>
      <c r="G225" s="11" t="s">
        <v>135</v>
      </c>
      <c r="H225" s="8">
        <v>9578099893</v>
      </c>
      <c r="I225" s="10" t="s">
        <v>25</v>
      </c>
      <c r="J225" s="18" t="s">
        <v>136</v>
      </c>
      <c r="K225" s="8" t="s">
        <v>22</v>
      </c>
      <c r="L225" s="8" t="s">
        <v>23</v>
      </c>
      <c r="M225" s="2" t="s">
        <v>146</v>
      </c>
      <c r="N225" s="1" t="s">
        <v>138</v>
      </c>
      <c r="O225" s="11">
        <v>590</v>
      </c>
      <c r="P225" s="2" t="s">
        <v>388</v>
      </c>
      <c r="Q225" s="12" t="str">
        <f t="shared" si="27"/>
        <v>24</v>
      </c>
      <c r="R225" s="12" t="str">
        <f t="shared" si="28"/>
        <v>11</v>
      </c>
      <c r="S225" s="6" t="s">
        <v>140</v>
      </c>
      <c r="T225" s="1" t="s">
        <v>141</v>
      </c>
      <c r="U225" s="1" t="s">
        <v>148</v>
      </c>
      <c r="V225" s="1" t="s">
        <v>143</v>
      </c>
      <c r="W225" s="1" t="s">
        <v>133</v>
      </c>
      <c r="X225" s="5">
        <v>46209</v>
      </c>
      <c r="Y225" s="1">
        <f t="shared" si="30"/>
        <v>32</v>
      </c>
      <c r="Z225" s="5">
        <v>46209</v>
      </c>
      <c r="AA225" s="3"/>
      <c r="AB225" s="3"/>
      <c r="AD225" s="133" t="str">
        <f t="shared" si="31"/>
        <v>Closed In July</v>
      </c>
    </row>
    <row r="226" spans="1:30" hidden="1">
      <c r="A226" s="21">
        <v>46177</v>
      </c>
      <c r="B226" s="1">
        <v>2026</v>
      </c>
      <c r="C226" s="8" t="s">
        <v>21</v>
      </c>
      <c r="D226" s="8" t="s">
        <v>134</v>
      </c>
      <c r="E226" s="1"/>
      <c r="F226" s="1" t="s">
        <v>19</v>
      </c>
      <c r="G226" s="11" t="s">
        <v>135</v>
      </c>
      <c r="H226" s="8">
        <v>9578099893</v>
      </c>
      <c r="I226" s="10" t="s">
        <v>25</v>
      </c>
      <c r="J226" s="18" t="s">
        <v>136</v>
      </c>
      <c r="K226" s="8" t="s">
        <v>22</v>
      </c>
      <c r="L226" s="8" t="s">
        <v>23</v>
      </c>
      <c r="M226" s="2" t="s">
        <v>137</v>
      </c>
      <c r="N226" s="1" t="s">
        <v>138</v>
      </c>
      <c r="O226" s="11">
        <v>590</v>
      </c>
      <c r="P226" s="2" t="s">
        <v>389</v>
      </c>
      <c r="Q226" s="12" t="str">
        <f t="shared" si="27"/>
        <v>24</v>
      </c>
      <c r="R226" s="12" t="str">
        <f t="shared" si="28"/>
        <v>11</v>
      </c>
      <c r="S226" s="6" t="s">
        <v>140</v>
      </c>
      <c r="T226" s="1" t="s">
        <v>141</v>
      </c>
      <c r="U226" s="6" t="s">
        <v>142</v>
      </c>
      <c r="V226" s="6" t="s">
        <v>143</v>
      </c>
      <c r="W226" s="1" t="s">
        <v>133</v>
      </c>
      <c r="X226" s="5">
        <v>46209</v>
      </c>
      <c r="Y226" s="1">
        <f t="shared" si="30"/>
        <v>32</v>
      </c>
      <c r="Z226" s="5">
        <v>46209</v>
      </c>
      <c r="AA226" s="3"/>
      <c r="AB226" s="3"/>
      <c r="AD226" s="133" t="str">
        <f t="shared" si="31"/>
        <v>Closed In July</v>
      </c>
    </row>
    <row r="227" spans="1:30" hidden="1">
      <c r="A227" s="21">
        <v>46177</v>
      </c>
      <c r="B227" s="1">
        <v>2026</v>
      </c>
      <c r="C227" s="8" t="s">
        <v>21</v>
      </c>
      <c r="D227" s="8" t="s">
        <v>134</v>
      </c>
      <c r="E227" s="1"/>
      <c r="F227" s="1" t="s">
        <v>19</v>
      </c>
      <c r="G227" s="11" t="s">
        <v>135</v>
      </c>
      <c r="H227" s="8">
        <v>9578099893</v>
      </c>
      <c r="I227" s="10" t="s">
        <v>25</v>
      </c>
      <c r="J227" s="18" t="s">
        <v>136</v>
      </c>
      <c r="K227" s="8" t="s">
        <v>22</v>
      </c>
      <c r="L227" s="8" t="s">
        <v>23</v>
      </c>
      <c r="M227" s="2" t="s">
        <v>137</v>
      </c>
      <c r="N227" s="1" t="s">
        <v>138</v>
      </c>
      <c r="O227" s="11">
        <v>590</v>
      </c>
      <c r="P227" s="2" t="s">
        <v>390</v>
      </c>
      <c r="Q227" s="12" t="str">
        <f t="shared" si="27"/>
        <v>24</v>
      </c>
      <c r="R227" s="12" t="str">
        <f t="shared" si="28"/>
        <v>11</v>
      </c>
      <c r="S227" s="6" t="s">
        <v>140</v>
      </c>
      <c r="T227" s="1" t="s">
        <v>141</v>
      </c>
      <c r="U227" s="6" t="s">
        <v>142</v>
      </c>
      <c r="V227" s="6" t="s">
        <v>143</v>
      </c>
      <c r="W227" s="1" t="s">
        <v>133</v>
      </c>
      <c r="X227" s="5">
        <v>46209</v>
      </c>
      <c r="Y227" s="1">
        <f t="shared" si="30"/>
        <v>32</v>
      </c>
      <c r="Z227" s="5">
        <v>46209</v>
      </c>
      <c r="AA227" s="3"/>
      <c r="AB227" s="3"/>
      <c r="AD227" s="133" t="str">
        <f t="shared" si="31"/>
        <v>Closed In July</v>
      </c>
    </row>
    <row r="228" spans="1:30" hidden="1">
      <c r="A228" s="21">
        <v>46177</v>
      </c>
      <c r="B228" s="1">
        <v>2026</v>
      </c>
      <c r="C228" s="8" t="s">
        <v>21</v>
      </c>
      <c r="D228" s="8" t="s">
        <v>134</v>
      </c>
      <c r="E228" s="1"/>
      <c r="F228" s="1" t="s">
        <v>19</v>
      </c>
      <c r="G228" s="11" t="s">
        <v>135</v>
      </c>
      <c r="H228" s="8">
        <v>9578099893</v>
      </c>
      <c r="I228" s="10" t="s">
        <v>25</v>
      </c>
      <c r="J228" s="18" t="s">
        <v>136</v>
      </c>
      <c r="K228" s="8" t="s">
        <v>22</v>
      </c>
      <c r="L228" s="8" t="s">
        <v>23</v>
      </c>
      <c r="M228" s="2" t="s">
        <v>137</v>
      </c>
      <c r="N228" s="1" t="s">
        <v>138</v>
      </c>
      <c r="O228" s="11">
        <v>590</v>
      </c>
      <c r="P228" s="2" t="s">
        <v>391</v>
      </c>
      <c r="Q228" s="12" t="str">
        <f t="shared" si="27"/>
        <v>24</v>
      </c>
      <c r="R228" s="12" t="str">
        <f t="shared" si="28"/>
        <v>11</v>
      </c>
      <c r="S228" s="6" t="s">
        <v>140</v>
      </c>
      <c r="T228" s="1" t="s">
        <v>141</v>
      </c>
      <c r="U228" s="6" t="s">
        <v>142</v>
      </c>
      <c r="V228" s="6" t="s">
        <v>143</v>
      </c>
      <c r="W228" s="1" t="s">
        <v>133</v>
      </c>
      <c r="X228" s="5">
        <v>46209</v>
      </c>
      <c r="Y228" s="1">
        <f t="shared" si="30"/>
        <v>32</v>
      </c>
      <c r="Z228" s="5">
        <v>46209</v>
      </c>
      <c r="AA228" s="3"/>
      <c r="AB228" s="3"/>
      <c r="AD228" s="133" t="str">
        <f t="shared" si="31"/>
        <v>Closed In July</v>
      </c>
    </row>
    <row r="229" spans="1:30" hidden="1">
      <c r="A229" s="21">
        <v>46177</v>
      </c>
      <c r="B229" s="1">
        <v>2026</v>
      </c>
      <c r="C229" s="8" t="s">
        <v>21</v>
      </c>
      <c r="D229" s="8" t="s">
        <v>134</v>
      </c>
      <c r="E229" s="1"/>
      <c r="F229" s="1" t="s">
        <v>19</v>
      </c>
      <c r="G229" s="11" t="s">
        <v>135</v>
      </c>
      <c r="H229" s="8">
        <v>9578099893</v>
      </c>
      <c r="I229" s="10" t="s">
        <v>25</v>
      </c>
      <c r="J229" s="18" t="s">
        <v>136</v>
      </c>
      <c r="K229" s="8" t="s">
        <v>22</v>
      </c>
      <c r="L229" s="8" t="s">
        <v>23</v>
      </c>
      <c r="M229" s="2" t="s">
        <v>146</v>
      </c>
      <c r="N229" s="1" t="s">
        <v>138</v>
      </c>
      <c r="O229" s="11">
        <v>590</v>
      </c>
      <c r="P229" s="2" t="s">
        <v>392</v>
      </c>
      <c r="Q229" s="12" t="str">
        <f t="shared" si="27"/>
        <v>24</v>
      </c>
      <c r="R229" s="12" t="str">
        <f t="shared" si="28"/>
        <v>11</v>
      </c>
      <c r="S229" s="6" t="s">
        <v>140</v>
      </c>
      <c r="T229" s="1" t="s">
        <v>141</v>
      </c>
      <c r="U229" s="1" t="s">
        <v>148</v>
      </c>
      <c r="V229" s="1" t="s">
        <v>143</v>
      </c>
      <c r="W229" s="1" t="s">
        <v>133</v>
      </c>
      <c r="X229" s="5">
        <v>46209</v>
      </c>
      <c r="Y229" s="1">
        <f t="shared" si="30"/>
        <v>32</v>
      </c>
      <c r="Z229" s="5">
        <v>46209</v>
      </c>
      <c r="AA229" s="3"/>
      <c r="AB229" s="3"/>
      <c r="AD229" s="133" t="str">
        <f t="shared" si="31"/>
        <v>Closed In July</v>
      </c>
    </row>
    <row r="230" spans="1:30" hidden="1">
      <c r="A230" s="21">
        <v>46177</v>
      </c>
      <c r="B230" s="1">
        <v>2026</v>
      </c>
      <c r="C230" s="8" t="s">
        <v>21</v>
      </c>
      <c r="D230" s="8" t="s">
        <v>134</v>
      </c>
      <c r="E230" s="1"/>
      <c r="F230" s="1" t="s">
        <v>19</v>
      </c>
      <c r="G230" s="11" t="s">
        <v>135</v>
      </c>
      <c r="H230" s="8">
        <v>9578099893</v>
      </c>
      <c r="I230" s="10" t="s">
        <v>25</v>
      </c>
      <c r="J230" s="18" t="s">
        <v>136</v>
      </c>
      <c r="K230" s="8" t="s">
        <v>22</v>
      </c>
      <c r="L230" s="8" t="s">
        <v>23</v>
      </c>
      <c r="M230" s="2" t="s">
        <v>137</v>
      </c>
      <c r="N230" s="1" t="s">
        <v>138</v>
      </c>
      <c r="O230" s="11">
        <v>590</v>
      </c>
      <c r="P230" s="2" t="s">
        <v>393</v>
      </c>
      <c r="Q230" s="12" t="str">
        <f t="shared" si="27"/>
        <v>24</v>
      </c>
      <c r="R230" s="12" t="str">
        <f t="shared" si="28"/>
        <v>11</v>
      </c>
      <c r="S230" s="6" t="s">
        <v>140</v>
      </c>
      <c r="T230" s="1" t="s">
        <v>141</v>
      </c>
      <c r="U230" s="6" t="s">
        <v>142</v>
      </c>
      <c r="V230" s="6" t="s">
        <v>143</v>
      </c>
      <c r="W230" s="1" t="s">
        <v>133</v>
      </c>
      <c r="X230" s="5">
        <v>46209</v>
      </c>
      <c r="Y230" s="1">
        <f t="shared" si="30"/>
        <v>32</v>
      </c>
      <c r="Z230" s="5">
        <v>46209</v>
      </c>
      <c r="AA230" s="3"/>
      <c r="AB230" s="3"/>
      <c r="AD230" s="133" t="str">
        <f t="shared" si="31"/>
        <v>Closed In July</v>
      </c>
    </row>
    <row r="231" spans="1:30" hidden="1">
      <c r="A231" s="21">
        <v>46177</v>
      </c>
      <c r="B231" s="1">
        <v>2026</v>
      </c>
      <c r="C231" s="8" t="s">
        <v>21</v>
      </c>
      <c r="D231" s="8" t="s">
        <v>134</v>
      </c>
      <c r="E231" s="1"/>
      <c r="F231" s="1" t="s">
        <v>19</v>
      </c>
      <c r="G231" s="11" t="s">
        <v>135</v>
      </c>
      <c r="H231" s="8">
        <v>9578099893</v>
      </c>
      <c r="I231" s="10" t="s">
        <v>25</v>
      </c>
      <c r="J231" s="18" t="s">
        <v>136</v>
      </c>
      <c r="K231" s="8" t="s">
        <v>22</v>
      </c>
      <c r="L231" s="8" t="s">
        <v>23</v>
      </c>
      <c r="M231" s="2" t="s">
        <v>137</v>
      </c>
      <c r="N231" s="1" t="s">
        <v>138</v>
      </c>
      <c r="O231" s="11">
        <v>590</v>
      </c>
      <c r="P231" s="2" t="s">
        <v>394</v>
      </c>
      <c r="Q231" s="12" t="str">
        <f t="shared" si="27"/>
        <v>24</v>
      </c>
      <c r="R231" s="12" t="str">
        <f t="shared" si="28"/>
        <v>11</v>
      </c>
      <c r="S231" s="6" t="s">
        <v>140</v>
      </c>
      <c r="T231" s="1" t="s">
        <v>141</v>
      </c>
      <c r="U231" s="6" t="s">
        <v>142</v>
      </c>
      <c r="V231" s="6" t="s">
        <v>143</v>
      </c>
      <c r="W231" s="1" t="s">
        <v>133</v>
      </c>
      <c r="X231" s="5">
        <v>46209</v>
      </c>
      <c r="Y231" s="1">
        <f t="shared" si="30"/>
        <v>32</v>
      </c>
      <c r="Z231" s="5">
        <v>46209</v>
      </c>
      <c r="AA231" s="3"/>
      <c r="AB231" s="3"/>
      <c r="AD231" s="133" t="str">
        <f t="shared" si="31"/>
        <v>Closed In July</v>
      </c>
    </row>
    <row r="232" spans="1:30" hidden="1">
      <c r="A232" s="21">
        <v>46177</v>
      </c>
      <c r="B232" s="1">
        <v>2026</v>
      </c>
      <c r="C232" s="8" t="s">
        <v>21</v>
      </c>
      <c r="D232" s="8" t="s">
        <v>134</v>
      </c>
      <c r="E232" s="1"/>
      <c r="F232" s="1" t="s">
        <v>19</v>
      </c>
      <c r="G232" s="11" t="s">
        <v>135</v>
      </c>
      <c r="H232" s="8">
        <v>9578099893</v>
      </c>
      <c r="I232" s="10" t="s">
        <v>25</v>
      </c>
      <c r="J232" s="18" t="s">
        <v>136</v>
      </c>
      <c r="K232" s="8" t="s">
        <v>22</v>
      </c>
      <c r="L232" s="8" t="s">
        <v>23</v>
      </c>
      <c r="M232" s="2" t="s">
        <v>152</v>
      </c>
      <c r="N232" s="1" t="s">
        <v>138</v>
      </c>
      <c r="O232" s="11">
        <v>590</v>
      </c>
      <c r="P232" s="2" t="s">
        <v>395</v>
      </c>
      <c r="Q232" s="12" t="str">
        <f t="shared" si="27"/>
        <v>24</v>
      </c>
      <c r="R232" s="12" t="str">
        <f t="shared" si="28"/>
        <v>11</v>
      </c>
      <c r="S232" s="6" t="s">
        <v>140</v>
      </c>
      <c r="T232" s="1" t="s">
        <v>141</v>
      </c>
      <c r="U232" s="1" t="s">
        <v>154</v>
      </c>
      <c r="V232" s="1" t="s">
        <v>143</v>
      </c>
      <c r="W232" s="1" t="s">
        <v>133</v>
      </c>
      <c r="X232" s="5">
        <v>46209</v>
      </c>
      <c r="Y232" s="1">
        <f t="shared" si="30"/>
        <v>32</v>
      </c>
      <c r="Z232" s="5">
        <v>46209</v>
      </c>
      <c r="AA232" s="3"/>
      <c r="AB232" s="3"/>
      <c r="AD232" s="133" t="str">
        <f t="shared" si="31"/>
        <v>Closed In July</v>
      </c>
    </row>
    <row r="233" spans="1:30" hidden="1">
      <c r="A233" s="21">
        <v>46177</v>
      </c>
      <c r="B233" s="1">
        <v>2026</v>
      </c>
      <c r="C233" s="8" t="s">
        <v>21</v>
      </c>
      <c r="D233" s="8" t="s">
        <v>134</v>
      </c>
      <c r="E233" s="1"/>
      <c r="F233" s="1" t="s">
        <v>19</v>
      </c>
      <c r="G233" s="11" t="s">
        <v>135</v>
      </c>
      <c r="H233" s="8">
        <v>9578099893</v>
      </c>
      <c r="I233" s="10" t="s">
        <v>25</v>
      </c>
      <c r="J233" s="18" t="s">
        <v>136</v>
      </c>
      <c r="K233" s="8" t="s">
        <v>22</v>
      </c>
      <c r="L233" s="8" t="s">
        <v>23</v>
      </c>
      <c r="M233" s="2" t="s">
        <v>146</v>
      </c>
      <c r="N233" s="1" t="s">
        <v>138</v>
      </c>
      <c r="O233" s="11">
        <v>590</v>
      </c>
      <c r="P233" s="2" t="s">
        <v>396</v>
      </c>
      <c r="Q233" s="12" t="str">
        <f t="shared" si="27"/>
        <v>24</v>
      </c>
      <c r="R233" s="12" t="str">
        <f t="shared" si="28"/>
        <v>10</v>
      </c>
      <c r="S233" s="6" t="s">
        <v>140</v>
      </c>
      <c r="T233" s="1" t="s">
        <v>141</v>
      </c>
      <c r="U233" s="1" t="s">
        <v>148</v>
      </c>
      <c r="V233" s="1" t="s">
        <v>143</v>
      </c>
      <c r="W233" s="1" t="s">
        <v>133</v>
      </c>
      <c r="X233" s="5">
        <v>46209</v>
      </c>
      <c r="Y233" s="1">
        <f t="shared" si="30"/>
        <v>32</v>
      </c>
      <c r="Z233" s="5">
        <v>46209</v>
      </c>
      <c r="AA233" s="3"/>
      <c r="AB233" s="3"/>
      <c r="AD233" s="133" t="str">
        <f t="shared" si="31"/>
        <v>Closed In July</v>
      </c>
    </row>
    <row r="234" spans="1:30" hidden="1">
      <c r="A234" s="21">
        <v>46177</v>
      </c>
      <c r="B234" s="1">
        <v>2026</v>
      </c>
      <c r="C234" s="8" t="s">
        <v>21</v>
      </c>
      <c r="D234" s="8" t="s">
        <v>134</v>
      </c>
      <c r="E234" s="1"/>
      <c r="F234" s="1" t="s">
        <v>19</v>
      </c>
      <c r="G234" s="11" t="s">
        <v>135</v>
      </c>
      <c r="H234" s="8">
        <v>9578099893</v>
      </c>
      <c r="I234" s="10" t="s">
        <v>25</v>
      </c>
      <c r="J234" s="18" t="s">
        <v>136</v>
      </c>
      <c r="K234" s="8" t="s">
        <v>22</v>
      </c>
      <c r="L234" s="8" t="s">
        <v>23</v>
      </c>
      <c r="M234" s="2" t="s">
        <v>146</v>
      </c>
      <c r="N234" s="1" t="s">
        <v>138</v>
      </c>
      <c r="O234" s="11">
        <v>590</v>
      </c>
      <c r="P234" s="2" t="s">
        <v>397</v>
      </c>
      <c r="Q234" s="12" t="str">
        <f t="shared" si="27"/>
        <v>24</v>
      </c>
      <c r="R234" s="12" t="str">
        <f t="shared" si="28"/>
        <v>10</v>
      </c>
      <c r="S234" s="6" t="s">
        <v>140</v>
      </c>
      <c r="T234" s="1" t="s">
        <v>141</v>
      </c>
      <c r="U234" s="1" t="s">
        <v>148</v>
      </c>
      <c r="V234" s="1" t="s">
        <v>143</v>
      </c>
      <c r="W234" s="1" t="s">
        <v>133</v>
      </c>
      <c r="X234" s="5">
        <v>46209</v>
      </c>
      <c r="Y234" s="1">
        <f t="shared" si="30"/>
        <v>32</v>
      </c>
      <c r="Z234" s="5">
        <v>46209</v>
      </c>
      <c r="AA234" s="3"/>
      <c r="AB234" s="3"/>
      <c r="AD234" s="133" t="str">
        <f t="shared" si="31"/>
        <v>Closed In July</v>
      </c>
    </row>
    <row r="235" spans="1:30" hidden="1">
      <c r="A235" s="21">
        <v>46177</v>
      </c>
      <c r="B235" s="1">
        <v>2026</v>
      </c>
      <c r="C235" s="8" t="s">
        <v>21</v>
      </c>
      <c r="D235" s="8" t="s">
        <v>134</v>
      </c>
      <c r="E235" s="1"/>
      <c r="F235" s="1" t="s">
        <v>19</v>
      </c>
      <c r="G235" s="11" t="s">
        <v>135</v>
      </c>
      <c r="H235" s="8">
        <v>9578099893</v>
      </c>
      <c r="I235" s="10" t="s">
        <v>25</v>
      </c>
      <c r="J235" s="18" t="s">
        <v>136</v>
      </c>
      <c r="K235" s="8" t="s">
        <v>22</v>
      </c>
      <c r="L235" s="8" t="s">
        <v>23</v>
      </c>
      <c r="M235" s="2" t="s">
        <v>146</v>
      </c>
      <c r="N235" s="1" t="s">
        <v>138</v>
      </c>
      <c r="O235" s="11">
        <v>590</v>
      </c>
      <c r="P235" s="2" t="s">
        <v>398</v>
      </c>
      <c r="Q235" s="12" t="str">
        <f t="shared" si="27"/>
        <v>24</v>
      </c>
      <c r="R235" s="12" t="str">
        <f t="shared" si="28"/>
        <v>11</v>
      </c>
      <c r="S235" s="6" t="s">
        <v>140</v>
      </c>
      <c r="T235" s="1" t="s">
        <v>141</v>
      </c>
      <c r="U235" s="1" t="s">
        <v>148</v>
      </c>
      <c r="V235" s="1" t="s">
        <v>143</v>
      </c>
      <c r="W235" s="1" t="s">
        <v>133</v>
      </c>
      <c r="X235" s="5">
        <v>46209</v>
      </c>
      <c r="Y235" s="1">
        <f t="shared" si="30"/>
        <v>32</v>
      </c>
      <c r="Z235" s="5">
        <v>46209</v>
      </c>
      <c r="AA235" s="3"/>
      <c r="AB235" s="3"/>
      <c r="AD235" s="133" t="str">
        <f t="shared" si="31"/>
        <v>Closed In July</v>
      </c>
    </row>
    <row r="236" spans="1:30" hidden="1">
      <c r="A236" s="21">
        <v>46177</v>
      </c>
      <c r="B236" s="1">
        <v>2026</v>
      </c>
      <c r="C236" s="8" t="s">
        <v>21</v>
      </c>
      <c r="D236" s="8" t="s">
        <v>134</v>
      </c>
      <c r="E236" s="1"/>
      <c r="F236" s="1" t="s">
        <v>19</v>
      </c>
      <c r="G236" s="11" t="s">
        <v>135</v>
      </c>
      <c r="H236" s="8">
        <v>9578099893</v>
      </c>
      <c r="I236" s="10" t="s">
        <v>25</v>
      </c>
      <c r="J236" s="18" t="s">
        <v>136</v>
      </c>
      <c r="K236" s="8" t="s">
        <v>22</v>
      </c>
      <c r="L236" s="8" t="s">
        <v>23</v>
      </c>
      <c r="M236" s="2" t="s">
        <v>146</v>
      </c>
      <c r="N236" s="1" t="s">
        <v>138</v>
      </c>
      <c r="O236" s="11">
        <v>590</v>
      </c>
      <c r="P236" s="2" t="s">
        <v>399</v>
      </c>
      <c r="Q236" s="12" t="str">
        <f t="shared" si="27"/>
        <v>24</v>
      </c>
      <c r="R236" s="12" t="str">
        <f t="shared" si="28"/>
        <v>11</v>
      </c>
      <c r="S236" s="6" t="s">
        <v>140</v>
      </c>
      <c r="T236" s="1" t="s">
        <v>141</v>
      </c>
      <c r="U236" s="1" t="s">
        <v>148</v>
      </c>
      <c r="V236" s="1" t="s">
        <v>143</v>
      </c>
      <c r="W236" s="1" t="s">
        <v>133</v>
      </c>
      <c r="X236" s="5">
        <v>46209</v>
      </c>
      <c r="Y236" s="1">
        <f t="shared" si="30"/>
        <v>32</v>
      </c>
      <c r="Z236" s="5">
        <v>46209</v>
      </c>
      <c r="AA236" s="3"/>
      <c r="AB236" s="3"/>
      <c r="AD236" s="133" t="str">
        <f t="shared" si="31"/>
        <v>Closed In July</v>
      </c>
    </row>
    <row r="237" spans="1:30" hidden="1">
      <c r="A237" s="21">
        <v>46177</v>
      </c>
      <c r="B237" s="1">
        <v>2026</v>
      </c>
      <c r="C237" s="8" t="s">
        <v>21</v>
      </c>
      <c r="D237" s="8" t="s">
        <v>134</v>
      </c>
      <c r="E237" s="1"/>
      <c r="F237" s="1" t="s">
        <v>19</v>
      </c>
      <c r="G237" s="11" t="s">
        <v>135</v>
      </c>
      <c r="H237" s="8">
        <v>9578099893</v>
      </c>
      <c r="I237" s="10" t="s">
        <v>25</v>
      </c>
      <c r="J237" s="18" t="s">
        <v>136</v>
      </c>
      <c r="K237" s="8" t="s">
        <v>22</v>
      </c>
      <c r="L237" s="8" t="s">
        <v>23</v>
      </c>
      <c r="M237" s="2" t="s">
        <v>137</v>
      </c>
      <c r="N237" s="1" t="s">
        <v>138</v>
      </c>
      <c r="O237" s="11">
        <v>590</v>
      </c>
      <c r="P237" s="2" t="s">
        <v>400</v>
      </c>
      <c r="Q237" s="12" t="str">
        <f t="shared" si="27"/>
        <v>24</v>
      </c>
      <c r="R237" s="12" t="str">
        <f t="shared" si="28"/>
        <v>11</v>
      </c>
      <c r="S237" s="6" t="s">
        <v>140</v>
      </c>
      <c r="T237" s="1" t="s">
        <v>141</v>
      </c>
      <c r="U237" s="6" t="s">
        <v>142</v>
      </c>
      <c r="V237" s="6" t="s">
        <v>143</v>
      </c>
      <c r="W237" s="1" t="s">
        <v>133</v>
      </c>
      <c r="X237" s="5">
        <v>46209</v>
      </c>
      <c r="Y237" s="1">
        <f t="shared" si="30"/>
        <v>32</v>
      </c>
      <c r="Z237" s="5">
        <v>46209</v>
      </c>
      <c r="AA237" s="3"/>
      <c r="AB237" s="3"/>
      <c r="AD237" s="133" t="str">
        <f t="shared" si="31"/>
        <v>Closed In July</v>
      </c>
    </row>
    <row r="238" spans="1:30" hidden="1">
      <c r="A238" s="21">
        <v>46177</v>
      </c>
      <c r="B238" s="1">
        <v>2026</v>
      </c>
      <c r="C238" s="8" t="s">
        <v>21</v>
      </c>
      <c r="D238" s="8" t="s">
        <v>134</v>
      </c>
      <c r="E238" s="1"/>
      <c r="F238" s="1" t="s">
        <v>19</v>
      </c>
      <c r="G238" s="11" t="s">
        <v>135</v>
      </c>
      <c r="H238" s="8">
        <v>9578099893</v>
      </c>
      <c r="I238" s="10" t="s">
        <v>25</v>
      </c>
      <c r="J238" s="18" t="s">
        <v>136</v>
      </c>
      <c r="K238" s="8" t="s">
        <v>22</v>
      </c>
      <c r="L238" s="8" t="s">
        <v>23</v>
      </c>
      <c r="M238" s="2" t="s">
        <v>137</v>
      </c>
      <c r="N238" s="1" t="s">
        <v>138</v>
      </c>
      <c r="O238" s="11">
        <v>590</v>
      </c>
      <c r="P238" s="2" t="s">
        <v>401</v>
      </c>
      <c r="Q238" s="12" t="str">
        <f t="shared" si="27"/>
        <v>24</v>
      </c>
      <c r="R238" s="12" t="str">
        <f t="shared" si="28"/>
        <v>11</v>
      </c>
      <c r="S238" s="6" t="s">
        <v>140</v>
      </c>
      <c r="T238" s="1" t="s">
        <v>141</v>
      </c>
      <c r="U238" s="6" t="s">
        <v>142</v>
      </c>
      <c r="V238" s="6" t="s">
        <v>143</v>
      </c>
      <c r="W238" s="1" t="s">
        <v>133</v>
      </c>
      <c r="X238" s="5">
        <v>46209</v>
      </c>
      <c r="Y238" s="1">
        <f t="shared" si="30"/>
        <v>32</v>
      </c>
      <c r="Z238" s="5">
        <v>46209</v>
      </c>
      <c r="AA238" s="3"/>
      <c r="AB238" s="3"/>
      <c r="AD238" s="133" t="str">
        <f t="shared" si="31"/>
        <v>Closed In July</v>
      </c>
    </row>
    <row r="239" spans="1:30" hidden="1">
      <c r="A239" s="21">
        <v>46177</v>
      </c>
      <c r="B239" s="1">
        <v>2026</v>
      </c>
      <c r="C239" s="8" t="s">
        <v>21</v>
      </c>
      <c r="D239" s="8" t="s">
        <v>134</v>
      </c>
      <c r="E239" s="1"/>
      <c r="F239" s="1" t="s">
        <v>19</v>
      </c>
      <c r="G239" s="11" t="s">
        <v>135</v>
      </c>
      <c r="H239" s="8">
        <v>9578099893</v>
      </c>
      <c r="I239" s="10" t="s">
        <v>25</v>
      </c>
      <c r="J239" s="18" t="s">
        <v>136</v>
      </c>
      <c r="K239" s="8" t="s">
        <v>22</v>
      </c>
      <c r="L239" s="8" t="s">
        <v>23</v>
      </c>
      <c r="M239" s="2" t="s">
        <v>137</v>
      </c>
      <c r="N239" s="1" t="s">
        <v>138</v>
      </c>
      <c r="O239" s="11">
        <v>590</v>
      </c>
      <c r="P239" s="2" t="s">
        <v>402</v>
      </c>
      <c r="Q239" s="12" t="str">
        <f t="shared" ref="Q239:Q255" si="32">MID(P239,5,2)</f>
        <v>24</v>
      </c>
      <c r="R239" s="12" t="str">
        <f t="shared" ref="R239:R255" si="33">MID(P239,7,2)</f>
        <v>11</v>
      </c>
      <c r="S239" s="6" t="s">
        <v>140</v>
      </c>
      <c r="T239" s="1" t="s">
        <v>141</v>
      </c>
      <c r="U239" s="6" t="s">
        <v>142</v>
      </c>
      <c r="V239" s="6" t="s">
        <v>143</v>
      </c>
      <c r="W239" s="1" t="s">
        <v>133</v>
      </c>
      <c r="X239" s="5">
        <v>46210</v>
      </c>
      <c r="Y239" s="1">
        <f t="shared" ref="Y239" si="34">X239-A239</f>
        <v>33</v>
      </c>
      <c r="Z239" s="5">
        <v>46210</v>
      </c>
      <c r="AA239" s="3"/>
      <c r="AB239" s="3"/>
      <c r="AD239" s="133" t="str">
        <f t="shared" si="31"/>
        <v>Closed In July</v>
      </c>
    </row>
    <row r="240" spans="1:30" hidden="1">
      <c r="A240" s="21">
        <v>46177</v>
      </c>
      <c r="B240" s="1">
        <v>2026</v>
      </c>
      <c r="C240" s="8" t="s">
        <v>21</v>
      </c>
      <c r="D240" s="8" t="s">
        <v>134</v>
      </c>
      <c r="E240" s="1"/>
      <c r="F240" s="1" t="s">
        <v>19</v>
      </c>
      <c r="G240" s="11" t="s">
        <v>135</v>
      </c>
      <c r="H240" s="8">
        <v>9578099893</v>
      </c>
      <c r="I240" s="10" t="s">
        <v>25</v>
      </c>
      <c r="J240" s="18" t="s">
        <v>136</v>
      </c>
      <c r="K240" s="8" t="s">
        <v>22</v>
      </c>
      <c r="L240" s="8" t="s">
        <v>23</v>
      </c>
      <c r="M240" s="2" t="s">
        <v>152</v>
      </c>
      <c r="N240" s="1" t="s">
        <v>138</v>
      </c>
      <c r="O240" s="11">
        <v>590</v>
      </c>
      <c r="P240" s="2" t="s">
        <v>403</v>
      </c>
      <c r="Q240" s="12" t="str">
        <f t="shared" si="32"/>
        <v>24</v>
      </c>
      <c r="R240" s="12" t="str">
        <f t="shared" si="33"/>
        <v>11</v>
      </c>
      <c r="S240" s="6" t="s">
        <v>140</v>
      </c>
      <c r="T240" s="1" t="s">
        <v>141</v>
      </c>
      <c r="U240" s="1" t="s">
        <v>154</v>
      </c>
      <c r="V240" s="1" t="s">
        <v>143</v>
      </c>
      <c r="W240" s="1" t="s">
        <v>133</v>
      </c>
      <c r="X240" s="5">
        <v>46210</v>
      </c>
      <c r="Y240" s="1">
        <f t="shared" ref="Y240:Y255" si="35">X240-A240</f>
        <v>33</v>
      </c>
      <c r="Z240" s="5">
        <v>46210</v>
      </c>
      <c r="AA240" s="3"/>
      <c r="AB240" s="3"/>
      <c r="AD240" s="133" t="str">
        <f t="shared" si="31"/>
        <v>Closed In July</v>
      </c>
    </row>
    <row r="241" spans="1:30" hidden="1">
      <c r="A241" s="21">
        <v>46177</v>
      </c>
      <c r="B241" s="1">
        <v>2026</v>
      </c>
      <c r="C241" s="8" t="s">
        <v>21</v>
      </c>
      <c r="D241" s="8" t="s">
        <v>134</v>
      </c>
      <c r="E241" s="1"/>
      <c r="F241" s="1" t="s">
        <v>19</v>
      </c>
      <c r="G241" s="11" t="s">
        <v>135</v>
      </c>
      <c r="H241" s="8">
        <v>9578099893</v>
      </c>
      <c r="I241" s="10" t="s">
        <v>25</v>
      </c>
      <c r="J241" s="18" t="s">
        <v>136</v>
      </c>
      <c r="K241" s="8" t="s">
        <v>22</v>
      </c>
      <c r="L241" s="8" t="s">
        <v>23</v>
      </c>
      <c r="M241" s="2" t="s">
        <v>146</v>
      </c>
      <c r="N241" s="1" t="s">
        <v>138</v>
      </c>
      <c r="O241" s="11">
        <v>590</v>
      </c>
      <c r="P241" s="2" t="s">
        <v>404</v>
      </c>
      <c r="Q241" s="12" t="str">
        <f t="shared" si="32"/>
        <v>24</v>
      </c>
      <c r="R241" s="12" t="str">
        <f t="shared" si="33"/>
        <v>11</v>
      </c>
      <c r="S241" s="6" t="s">
        <v>140</v>
      </c>
      <c r="T241" s="1" t="s">
        <v>141</v>
      </c>
      <c r="U241" s="1" t="s">
        <v>148</v>
      </c>
      <c r="V241" s="1" t="s">
        <v>143</v>
      </c>
      <c r="W241" s="1" t="s">
        <v>133</v>
      </c>
      <c r="X241" s="5">
        <v>46210</v>
      </c>
      <c r="Y241" s="1">
        <f t="shared" si="35"/>
        <v>33</v>
      </c>
      <c r="Z241" s="5">
        <v>46210</v>
      </c>
      <c r="AA241" s="3"/>
      <c r="AB241" s="3"/>
      <c r="AD241" s="133" t="str">
        <f t="shared" si="31"/>
        <v>Closed In July</v>
      </c>
    </row>
    <row r="242" spans="1:30" hidden="1">
      <c r="A242" s="21">
        <v>46177</v>
      </c>
      <c r="B242" s="1">
        <v>2026</v>
      </c>
      <c r="C242" s="8" t="s">
        <v>21</v>
      </c>
      <c r="D242" s="8" t="s">
        <v>134</v>
      </c>
      <c r="E242" s="1"/>
      <c r="F242" s="1" t="s">
        <v>19</v>
      </c>
      <c r="G242" s="11" t="s">
        <v>135</v>
      </c>
      <c r="H242" s="8">
        <v>9578099893</v>
      </c>
      <c r="I242" s="10" t="s">
        <v>25</v>
      </c>
      <c r="J242" s="18" t="s">
        <v>136</v>
      </c>
      <c r="K242" s="8" t="s">
        <v>22</v>
      </c>
      <c r="L242" s="8" t="s">
        <v>23</v>
      </c>
      <c r="M242" s="2" t="s">
        <v>137</v>
      </c>
      <c r="N242" s="1" t="s">
        <v>138</v>
      </c>
      <c r="O242" s="11">
        <v>590</v>
      </c>
      <c r="P242" s="2" t="s">
        <v>405</v>
      </c>
      <c r="Q242" s="12" t="str">
        <f t="shared" si="32"/>
        <v>24</v>
      </c>
      <c r="R242" s="12" t="str">
        <f t="shared" si="33"/>
        <v>11</v>
      </c>
      <c r="S242" s="6" t="s">
        <v>140</v>
      </c>
      <c r="T242" s="1" t="s">
        <v>141</v>
      </c>
      <c r="U242" s="6" t="s">
        <v>142</v>
      </c>
      <c r="V242" s="6" t="s">
        <v>143</v>
      </c>
      <c r="W242" s="1" t="s">
        <v>133</v>
      </c>
      <c r="X242" s="5">
        <v>46210</v>
      </c>
      <c r="Y242" s="1">
        <f t="shared" si="35"/>
        <v>33</v>
      </c>
      <c r="Z242" s="5">
        <v>46210</v>
      </c>
      <c r="AA242" s="3"/>
      <c r="AB242" s="3"/>
      <c r="AD242" s="133" t="str">
        <f t="shared" si="31"/>
        <v>Closed In July</v>
      </c>
    </row>
    <row r="243" spans="1:30" hidden="1">
      <c r="A243" s="21">
        <v>46177</v>
      </c>
      <c r="B243" s="1">
        <v>2026</v>
      </c>
      <c r="C243" s="8" t="s">
        <v>21</v>
      </c>
      <c r="D243" s="8" t="s">
        <v>134</v>
      </c>
      <c r="E243" s="1"/>
      <c r="F243" s="1" t="s">
        <v>19</v>
      </c>
      <c r="G243" s="11" t="s">
        <v>135</v>
      </c>
      <c r="H243" s="8">
        <v>9578099893</v>
      </c>
      <c r="I243" s="10" t="s">
        <v>25</v>
      </c>
      <c r="J243" s="18" t="s">
        <v>136</v>
      </c>
      <c r="K243" s="8" t="s">
        <v>22</v>
      </c>
      <c r="L243" s="8" t="s">
        <v>23</v>
      </c>
      <c r="M243" s="2" t="s">
        <v>146</v>
      </c>
      <c r="N243" s="1" t="s">
        <v>138</v>
      </c>
      <c r="O243" s="11">
        <v>590</v>
      </c>
      <c r="P243" s="2" t="s">
        <v>406</v>
      </c>
      <c r="Q243" s="12" t="str">
        <f t="shared" si="32"/>
        <v>24</v>
      </c>
      <c r="R243" s="12" t="str">
        <f t="shared" si="33"/>
        <v>10</v>
      </c>
      <c r="S243" s="6" t="s">
        <v>140</v>
      </c>
      <c r="T243" s="1" t="s">
        <v>141</v>
      </c>
      <c r="U243" s="1" t="s">
        <v>148</v>
      </c>
      <c r="V243" s="1" t="s">
        <v>143</v>
      </c>
      <c r="W243" s="1" t="s">
        <v>133</v>
      </c>
      <c r="X243" s="5">
        <v>46210</v>
      </c>
      <c r="Y243" s="1">
        <f t="shared" si="35"/>
        <v>33</v>
      </c>
      <c r="Z243" s="5">
        <v>46210</v>
      </c>
      <c r="AA243" s="3"/>
      <c r="AB243" s="3"/>
      <c r="AD243" s="133" t="str">
        <f t="shared" si="31"/>
        <v>Closed In July</v>
      </c>
    </row>
    <row r="244" spans="1:30" hidden="1">
      <c r="A244" s="21">
        <v>46177</v>
      </c>
      <c r="B244" s="1">
        <v>2026</v>
      </c>
      <c r="C244" s="8" t="s">
        <v>21</v>
      </c>
      <c r="D244" s="8" t="s">
        <v>134</v>
      </c>
      <c r="E244" s="1"/>
      <c r="F244" s="1" t="s">
        <v>19</v>
      </c>
      <c r="G244" s="11" t="s">
        <v>135</v>
      </c>
      <c r="H244" s="8">
        <v>9578099893</v>
      </c>
      <c r="I244" s="10" t="s">
        <v>25</v>
      </c>
      <c r="J244" s="18" t="s">
        <v>136</v>
      </c>
      <c r="K244" s="8" t="s">
        <v>22</v>
      </c>
      <c r="L244" s="8" t="s">
        <v>23</v>
      </c>
      <c r="M244" s="2" t="s">
        <v>146</v>
      </c>
      <c r="N244" s="1" t="s">
        <v>138</v>
      </c>
      <c r="O244" s="11">
        <v>590</v>
      </c>
      <c r="P244" s="2" t="s">
        <v>407</v>
      </c>
      <c r="Q244" s="12" t="str">
        <f t="shared" si="32"/>
        <v>24</v>
      </c>
      <c r="R244" s="12" t="str">
        <f t="shared" si="33"/>
        <v>10</v>
      </c>
      <c r="S244" s="6" t="s">
        <v>140</v>
      </c>
      <c r="T244" s="1" t="s">
        <v>141</v>
      </c>
      <c r="U244" s="1" t="s">
        <v>148</v>
      </c>
      <c r="V244" s="1" t="s">
        <v>143</v>
      </c>
      <c r="W244" s="1" t="s">
        <v>133</v>
      </c>
      <c r="X244" s="5">
        <v>46210</v>
      </c>
      <c r="Y244" s="1">
        <f t="shared" si="35"/>
        <v>33</v>
      </c>
      <c r="Z244" s="5">
        <v>46210</v>
      </c>
      <c r="AA244" s="3"/>
      <c r="AB244" s="3"/>
      <c r="AD244" s="133" t="str">
        <f t="shared" si="31"/>
        <v>Closed In July</v>
      </c>
    </row>
    <row r="245" spans="1:30" hidden="1">
      <c r="A245" s="21">
        <v>46177</v>
      </c>
      <c r="B245" s="1">
        <v>2026</v>
      </c>
      <c r="C245" s="8" t="s">
        <v>21</v>
      </c>
      <c r="D245" s="8" t="s">
        <v>134</v>
      </c>
      <c r="E245" s="1"/>
      <c r="F245" s="1" t="s">
        <v>19</v>
      </c>
      <c r="G245" s="11" t="s">
        <v>135</v>
      </c>
      <c r="H245" s="8">
        <v>9578099893</v>
      </c>
      <c r="I245" s="10" t="s">
        <v>25</v>
      </c>
      <c r="J245" s="18" t="s">
        <v>136</v>
      </c>
      <c r="K245" s="8" t="s">
        <v>22</v>
      </c>
      <c r="L245" s="8" t="s">
        <v>23</v>
      </c>
      <c r="M245" s="2" t="s">
        <v>152</v>
      </c>
      <c r="N245" s="1" t="s">
        <v>138</v>
      </c>
      <c r="O245" s="11">
        <v>590</v>
      </c>
      <c r="P245" s="2" t="s">
        <v>408</v>
      </c>
      <c r="Q245" s="12" t="str">
        <f t="shared" si="32"/>
        <v>24</v>
      </c>
      <c r="R245" s="12" t="str">
        <f t="shared" si="33"/>
        <v>11</v>
      </c>
      <c r="S245" s="6" t="s">
        <v>140</v>
      </c>
      <c r="T245" s="1" t="s">
        <v>141</v>
      </c>
      <c r="U245" s="1" t="s">
        <v>154</v>
      </c>
      <c r="V245" s="1" t="s">
        <v>143</v>
      </c>
      <c r="W245" s="1" t="s">
        <v>133</v>
      </c>
      <c r="X245" s="5">
        <v>46210</v>
      </c>
      <c r="Y245" s="1">
        <f t="shared" si="35"/>
        <v>33</v>
      </c>
      <c r="Z245" s="5">
        <v>46210</v>
      </c>
      <c r="AA245" s="3"/>
      <c r="AB245" s="3"/>
      <c r="AD245" s="133" t="str">
        <f t="shared" si="31"/>
        <v>Closed In July</v>
      </c>
    </row>
    <row r="246" spans="1:30" hidden="1">
      <c r="A246" s="21">
        <v>46177</v>
      </c>
      <c r="B246" s="1">
        <v>2026</v>
      </c>
      <c r="C246" s="8" t="s">
        <v>21</v>
      </c>
      <c r="D246" s="8" t="s">
        <v>134</v>
      </c>
      <c r="E246" s="1"/>
      <c r="F246" s="1" t="s">
        <v>19</v>
      </c>
      <c r="G246" s="11" t="s">
        <v>135</v>
      </c>
      <c r="H246" s="8">
        <v>9578099893</v>
      </c>
      <c r="I246" s="10" t="s">
        <v>25</v>
      </c>
      <c r="J246" s="18" t="s">
        <v>136</v>
      </c>
      <c r="K246" s="8" t="s">
        <v>22</v>
      </c>
      <c r="L246" s="8" t="s">
        <v>23</v>
      </c>
      <c r="M246" s="2" t="s">
        <v>137</v>
      </c>
      <c r="N246" s="1" t="s">
        <v>138</v>
      </c>
      <c r="O246" s="11">
        <v>590</v>
      </c>
      <c r="P246" s="2" t="s">
        <v>409</v>
      </c>
      <c r="Q246" s="12" t="str">
        <f t="shared" si="32"/>
        <v>24</v>
      </c>
      <c r="R246" s="12" t="str">
        <f t="shared" si="33"/>
        <v>11</v>
      </c>
      <c r="S246" s="6" t="s">
        <v>140</v>
      </c>
      <c r="T246" s="1" t="s">
        <v>141</v>
      </c>
      <c r="U246" s="6" t="s">
        <v>142</v>
      </c>
      <c r="V246" s="6" t="s">
        <v>143</v>
      </c>
      <c r="W246" s="1" t="s">
        <v>133</v>
      </c>
      <c r="X246" s="5">
        <v>46210</v>
      </c>
      <c r="Y246" s="1">
        <f t="shared" si="35"/>
        <v>33</v>
      </c>
      <c r="Z246" s="5">
        <v>46210</v>
      </c>
      <c r="AA246" s="3"/>
      <c r="AB246" s="3"/>
      <c r="AD246" s="133" t="str">
        <f t="shared" si="31"/>
        <v>Closed In July</v>
      </c>
    </row>
    <row r="247" spans="1:30" hidden="1">
      <c r="A247" s="21">
        <v>46177</v>
      </c>
      <c r="B247" s="1">
        <v>2026</v>
      </c>
      <c r="C247" s="8" t="s">
        <v>21</v>
      </c>
      <c r="D247" s="8" t="s">
        <v>134</v>
      </c>
      <c r="E247" s="1"/>
      <c r="F247" s="1" t="s">
        <v>19</v>
      </c>
      <c r="G247" s="11" t="s">
        <v>135</v>
      </c>
      <c r="H247" s="8">
        <v>9578099893</v>
      </c>
      <c r="I247" s="10" t="s">
        <v>25</v>
      </c>
      <c r="J247" s="18" t="s">
        <v>136</v>
      </c>
      <c r="K247" s="8" t="s">
        <v>22</v>
      </c>
      <c r="L247" s="8" t="s">
        <v>23</v>
      </c>
      <c r="M247" s="2" t="s">
        <v>137</v>
      </c>
      <c r="N247" s="1" t="s">
        <v>138</v>
      </c>
      <c r="O247" s="11">
        <v>590</v>
      </c>
      <c r="P247" s="2" t="s">
        <v>410</v>
      </c>
      <c r="Q247" s="12" t="str">
        <f t="shared" si="32"/>
        <v>24</v>
      </c>
      <c r="R247" s="12" t="str">
        <f t="shared" si="33"/>
        <v>11</v>
      </c>
      <c r="S247" s="6" t="s">
        <v>140</v>
      </c>
      <c r="T247" s="1" t="s">
        <v>141</v>
      </c>
      <c r="U247" s="6" t="s">
        <v>142</v>
      </c>
      <c r="V247" s="6" t="s">
        <v>143</v>
      </c>
      <c r="W247" s="1" t="s">
        <v>133</v>
      </c>
      <c r="X247" s="5">
        <v>46210</v>
      </c>
      <c r="Y247" s="1">
        <f t="shared" si="35"/>
        <v>33</v>
      </c>
      <c r="Z247" s="5">
        <v>46210</v>
      </c>
      <c r="AA247" s="3"/>
      <c r="AB247" s="3"/>
      <c r="AD247" s="133" t="str">
        <f t="shared" si="31"/>
        <v>Closed In July</v>
      </c>
    </row>
    <row r="248" spans="1:30" hidden="1">
      <c r="A248" s="21">
        <v>46177</v>
      </c>
      <c r="B248" s="1">
        <v>2026</v>
      </c>
      <c r="C248" s="8" t="s">
        <v>21</v>
      </c>
      <c r="D248" s="8" t="s">
        <v>134</v>
      </c>
      <c r="E248" s="1"/>
      <c r="F248" s="1" t="s">
        <v>19</v>
      </c>
      <c r="G248" s="11" t="s">
        <v>135</v>
      </c>
      <c r="H248" s="8">
        <v>9578099893</v>
      </c>
      <c r="I248" s="10" t="s">
        <v>25</v>
      </c>
      <c r="J248" s="18" t="s">
        <v>136</v>
      </c>
      <c r="K248" s="8" t="s">
        <v>22</v>
      </c>
      <c r="L248" s="8" t="s">
        <v>23</v>
      </c>
      <c r="M248" s="2" t="s">
        <v>137</v>
      </c>
      <c r="N248" s="1" t="s">
        <v>138</v>
      </c>
      <c r="O248" s="11">
        <v>590</v>
      </c>
      <c r="P248" s="2" t="s">
        <v>411</v>
      </c>
      <c r="Q248" s="12" t="str">
        <f t="shared" si="32"/>
        <v>24</v>
      </c>
      <c r="R248" s="12" t="str">
        <f t="shared" si="33"/>
        <v>11</v>
      </c>
      <c r="S248" s="6" t="s">
        <v>140</v>
      </c>
      <c r="T248" s="1" t="s">
        <v>141</v>
      </c>
      <c r="U248" s="6" t="s">
        <v>142</v>
      </c>
      <c r="V248" s="6" t="s">
        <v>143</v>
      </c>
      <c r="W248" s="1" t="s">
        <v>133</v>
      </c>
      <c r="X248" s="5">
        <v>46210</v>
      </c>
      <c r="Y248" s="1">
        <f t="shared" si="35"/>
        <v>33</v>
      </c>
      <c r="Z248" s="5">
        <v>46210</v>
      </c>
      <c r="AA248" s="3"/>
      <c r="AB248" s="3"/>
      <c r="AD248" s="133" t="str">
        <f t="shared" si="31"/>
        <v>Closed In July</v>
      </c>
    </row>
    <row r="249" spans="1:30" hidden="1">
      <c r="A249" s="21">
        <v>46177</v>
      </c>
      <c r="B249" s="1">
        <v>2026</v>
      </c>
      <c r="C249" s="8" t="s">
        <v>21</v>
      </c>
      <c r="D249" s="8" t="s">
        <v>134</v>
      </c>
      <c r="E249" s="1"/>
      <c r="F249" s="1" t="s">
        <v>19</v>
      </c>
      <c r="G249" s="11" t="s">
        <v>135</v>
      </c>
      <c r="H249" s="8">
        <v>9578099893</v>
      </c>
      <c r="I249" s="10" t="s">
        <v>25</v>
      </c>
      <c r="J249" s="18" t="s">
        <v>136</v>
      </c>
      <c r="K249" s="8" t="s">
        <v>22</v>
      </c>
      <c r="L249" s="8" t="s">
        <v>23</v>
      </c>
      <c r="M249" s="2" t="s">
        <v>152</v>
      </c>
      <c r="N249" s="1" t="s">
        <v>138</v>
      </c>
      <c r="O249" s="11">
        <v>590</v>
      </c>
      <c r="P249" s="2" t="s">
        <v>412</v>
      </c>
      <c r="Q249" s="12" t="str">
        <f t="shared" si="32"/>
        <v>24</v>
      </c>
      <c r="R249" s="12" t="str">
        <f t="shared" si="33"/>
        <v>11</v>
      </c>
      <c r="S249" s="6" t="s">
        <v>140</v>
      </c>
      <c r="T249" s="1" t="s">
        <v>141</v>
      </c>
      <c r="U249" s="1" t="s">
        <v>154</v>
      </c>
      <c r="V249" s="1" t="s">
        <v>143</v>
      </c>
      <c r="W249" s="1" t="s">
        <v>133</v>
      </c>
      <c r="X249" s="5">
        <v>46210</v>
      </c>
      <c r="Y249" s="1">
        <f t="shared" si="35"/>
        <v>33</v>
      </c>
      <c r="Z249" s="5">
        <v>46210</v>
      </c>
      <c r="AA249" s="3"/>
      <c r="AB249" s="3"/>
      <c r="AD249" s="133" t="str">
        <f t="shared" si="31"/>
        <v>Closed In July</v>
      </c>
    </row>
    <row r="250" spans="1:30" hidden="1">
      <c r="A250" s="21">
        <v>46177</v>
      </c>
      <c r="B250" s="1">
        <v>2026</v>
      </c>
      <c r="C250" s="8" t="s">
        <v>21</v>
      </c>
      <c r="D250" s="8" t="s">
        <v>134</v>
      </c>
      <c r="E250" s="1"/>
      <c r="F250" s="1" t="s">
        <v>19</v>
      </c>
      <c r="G250" s="11" t="s">
        <v>135</v>
      </c>
      <c r="H250" s="8">
        <v>9578099893</v>
      </c>
      <c r="I250" s="10" t="s">
        <v>25</v>
      </c>
      <c r="J250" s="18" t="s">
        <v>136</v>
      </c>
      <c r="K250" s="8" t="s">
        <v>22</v>
      </c>
      <c r="L250" s="8" t="s">
        <v>23</v>
      </c>
      <c r="M250" s="2" t="s">
        <v>146</v>
      </c>
      <c r="N250" s="1" t="s">
        <v>138</v>
      </c>
      <c r="O250" s="11">
        <v>590</v>
      </c>
      <c r="P250" s="2" t="s">
        <v>413</v>
      </c>
      <c r="Q250" s="12" t="str">
        <f t="shared" si="32"/>
        <v>24</v>
      </c>
      <c r="R250" s="12" t="str">
        <f t="shared" si="33"/>
        <v>11</v>
      </c>
      <c r="S250" s="6" t="s">
        <v>140</v>
      </c>
      <c r="T250" s="1" t="s">
        <v>141</v>
      </c>
      <c r="U250" s="1" t="s">
        <v>148</v>
      </c>
      <c r="V250" s="1" t="s">
        <v>143</v>
      </c>
      <c r="W250" s="1" t="s">
        <v>133</v>
      </c>
      <c r="X250" s="5">
        <v>46210</v>
      </c>
      <c r="Y250" s="1">
        <f t="shared" si="35"/>
        <v>33</v>
      </c>
      <c r="Z250" s="5">
        <v>46210</v>
      </c>
      <c r="AA250" s="3"/>
      <c r="AB250" s="3"/>
      <c r="AD250" s="133" t="str">
        <f t="shared" si="31"/>
        <v>Closed In July</v>
      </c>
    </row>
    <row r="251" spans="1:30" hidden="1">
      <c r="A251" s="21">
        <v>46177</v>
      </c>
      <c r="B251" s="1">
        <v>2026</v>
      </c>
      <c r="C251" s="8" t="s">
        <v>21</v>
      </c>
      <c r="D251" s="8" t="s">
        <v>134</v>
      </c>
      <c r="E251" s="1"/>
      <c r="F251" s="1" t="s">
        <v>19</v>
      </c>
      <c r="G251" s="11" t="s">
        <v>135</v>
      </c>
      <c r="H251" s="8">
        <v>9578099893</v>
      </c>
      <c r="I251" s="10" t="s">
        <v>25</v>
      </c>
      <c r="J251" s="18" t="s">
        <v>136</v>
      </c>
      <c r="K251" s="8" t="s">
        <v>22</v>
      </c>
      <c r="L251" s="8" t="s">
        <v>23</v>
      </c>
      <c r="M251" s="2" t="s">
        <v>146</v>
      </c>
      <c r="N251" s="1" t="s">
        <v>138</v>
      </c>
      <c r="O251" s="11">
        <v>590</v>
      </c>
      <c r="P251" s="2" t="s">
        <v>414</v>
      </c>
      <c r="Q251" s="12" t="str">
        <f t="shared" si="32"/>
        <v>24</v>
      </c>
      <c r="R251" s="12" t="str">
        <f t="shared" si="33"/>
        <v>11</v>
      </c>
      <c r="S251" s="6" t="s">
        <v>140</v>
      </c>
      <c r="T251" s="1" t="s">
        <v>141</v>
      </c>
      <c r="U251" s="1" t="s">
        <v>148</v>
      </c>
      <c r="V251" s="1" t="s">
        <v>143</v>
      </c>
      <c r="W251" s="1" t="s">
        <v>133</v>
      </c>
      <c r="X251" s="5">
        <v>46210</v>
      </c>
      <c r="Y251" s="1">
        <f t="shared" si="35"/>
        <v>33</v>
      </c>
      <c r="Z251" s="5">
        <v>46210</v>
      </c>
      <c r="AA251" s="3"/>
      <c r="AB251" s="3"/>
      <c r="AD251" s="133" t="str">
        <f t="shared" si="31"/>
        <v>Closed In July</v>
      </c>
    </row>
    <row r="252" spans="1:30" hidden="1">
      <c r="A252" s="21">
        <v>46177</v>
      </c>
      <c r="B252" s="1">
        <v>2026</v>
      </c>
      <c r="C252" s="8" t="s">
        <v>21</v>
      </c>
      <c r="D252" s="8" t="s">
        <v>134</v>
      </c>
      <c r="E252" s="1"/>
      <c r="F252" s="1" t="s">
        <v>19</v>
      </c>
      <c r="G252" s="11" t="s">
        <v>135</v>
      </c>
      <c r="H252" s="8">
        <v>9578099893</v>
      </c>
      <c r="I252" s="10" t="s">
        <v>25</v>
      </c>
      <c r="J252" s="18" t="s">
        <v>136</v>
      </c>
      <c r="K252" s="8" t="s">
        <v>22</v>
      </c>
      <c r="L252" s="8" t="s">
        <v>23</v>
      </c>
      <c r="M252" s="2" t="s">
        <v>137</v>
      </c>
      <c r="N252" s="1" t="s">
        <v>138</v>
      </c>
      <c r="O252" s="11">
        <v>590</v>
      </c>
      <c r="P252" s="2" t="s">
        <v>415</v>
      </c>
      <c r="Q252" s="12" t="str">
        <f t="shared" si="32"/>
        <v>24</v>
      </c>
      <c r="R252" s="12" t="str">
        <f t="shared" si="33"/>
        <v>11</v>
      </c>
      <c r="S252" s="6" t="s">
        <v>140</v>
      </c>
      <c r="T252" s="1" t="s">
        <v>141</v>
      </c>
      <c r="U252" s="6" t="s">
        <v>142</v>
      </c>
      <c r="V252" s="6" t="s">
        <v>143</v>
      </c>
      <c r="W252" s="1" t="s">
        <v>133</v>
      </c>
      <c r="X252" s="5">
        <v>46210</v>
      </c>
      <c r="Y252" s="1">
        <f t="shared" si="35"/>
        <v>33</v>
      </c>
      <c r="Z252" s="5">
        <v>46210</v>
      </c>
      <c r="AA252" s="3"/>
      <c r="AB252" s="3"/>
      <c r="AD252" s="133" t="str">
        <f t="shared" si="31"/>
        <v>Closed In July</v>
      </c>
    </row>
    <row r="253" spans="1:30" hidden="1">
      <c r="A253" s="21">
        <v>46177</v>
      </c>
      <c r="B253" s="1">
        <v>2026</v>
      </c>
      <c r="C253" s="8" t="s">
        <v>21</v>
      </c>
      <c r="D253" s="8" t="s">
        <v>134</v>
      </c>
      <c r="E253" s="1"/>
      <c r="F253" s="1" t="s">
        <v>19</v>
      </c>
      <c r="G253" s="11" t="s">
        <v>135</v>
      </c>
      <c r="H253" s="8">
        <v>9578099893</v>
      </c>
      <c r="I253" s="10" t="s">
        <v>25</v>
      </c>
      <c r="J253" s="18" t="s">
        <v>136</v>
      </c>
      <c r="K253" s="8" t="s">
        <v>22</v>
      </c>
      <c r="L253" s="8" t="s">
        <v>23</v>
      </c>
      <c r="M253" s="2" t="s">
        <v>137</v>
      </c>
      <c r="N253" s="1" t="s">
        <v>138</v>
      </c>
      <c r="O253" s="11">
        <v>590</v>
      </c>
      <c r="P253" s="2" t="s">
        <v>416</v>
      </c>
      <c r="Q253" s="12" t="str">
        <f t="shared" si="32"/>
        <v>24</v>
      </c>
      <c r="R253" s="12" t="str">
        <f t="shared" si="33"/>
        <v>11</v>
      </c>
      <c r="S253" s="6" t="s">
        <v>140</v>
      </c>
      <c r="T253" s="1" t="s">
        <v>141</v>
      </c>
      <c r="U253" s="6" t="s">
        <v>142</v>
      </c>
      <c r="V253" s="6" t="s">
        <v>143</v>
      </c>
      <c r="W253" s="1" t="s">
        <v>133</v>
      </c>
      <c r="X253" s="5">
        <v>46210</v>
      </c>
      <c r="Y253" s="1">
        <f t="shared" si="35"/>
        <v>33</v>
      </c>
      <c r="Z253" s="5">
        <v>46210</v>
      </c>
      <c r="AA253" s="3"/>
      <c r="AB253" s="3"/>
      <c r="AD253" s="133" t="str">
        <f t="shared" si="31"/>
        <v>Closed In July</v>
      </c>
    </row>
    <row r="254" spans="1:30" hidden="1">
      <c r="A254" s="21">
        <v>46177</v>
      </c>
      <c r="B254" s="1">
        <v>2026</v>
      </c>
      <c r="C254" s="8" t="s">
        <v>21</v>
      </c>
      <c r="D254" s="8" t="s">
        <v>134</v>
      </c>
      <c r="E254" s="1"/>
      <c r="F254" s="1" t="s">
        <v>19</v>
      </c>
      <c r="G254" s="11" t="s">
        <v>135</v>
      </c>
      <c r="H254" s="8">
        <v>9578099893</v>
      </c>
      <c r="I254" s="10" t="s">
        <v>25</v>
      </c>
      <c r="J254" s="18" t="s">
        <v>136</v>
      </c>
      <c r="K254" s="8" t="s">
        <v>22</v>
      </c>
      <c r="L254" s="8" t="s">
        <v>23</v>
      </c>
      <c r="M254" s="2" t="s">
        <v>146</v>
      </c>
      <c r="N254" s="1" t="s">
        <v>138</v>
      </c>
      <c r="O254" s="11">
        <v>590</v>
      </c>
      <c r="P254" s="2" t="s">
        <v>417</v>
      </c>
      <c r="Q254" s="12" t="str">
        <f t="shared" si="32"/>
        <v>24</v>
      </c>
      <c r="R254" s="12" t="str">
        <f t="shared" si="33"/>
        <v>10</v>
      </c>
      <c r="S254" s="6" t="s">
        <v>140</v>
      </c>
      <c r="T254" s="1" t="s">
        <v>141</v>
      </c>
      <c r="U254" s="1" t="s">
        <v>148</v>
      </c>
      <c r="V254" s="1" t="s">
        <v>143</v>
      </c>
      <c r="W254" s="1" t="s">
        <v>133</v>
      </c>
      <c r="X254" s="5">
        <v>46210</v>
      </c>
      <c r="Y254" s="1">
        <f t="shared" si="35"/>
        <v>33</v>
      </c>
      <c r="Z254" s="5">
        <v>46210</v>
      </c>
      <c r="AA254" s="3"/>
      <c r="AB254" s="3"/>
      <c r="AD254" s="133" t="str">
        <f t="shared" si="31"/>
        <v>Closed In July</v>
      </c>
    </row>
    <row r="255" spans="1:30" hidden="1">
      <c r="A255" s="9">
        <v>46134</v>
      </c>
      <c r="B255" s="1">
        <v>2026</v>
      </c>
      <c r="C255" s="8" t="s">
        <v>26</v>
      </c>
      <c r="D255" s="11" t="s">
        <v>179</v>
      </c>
      <c r="E255" s="1"/>
      <c r="F255" s="1" t="s">
        <v>19</v>
      </c>
      <c r="G255" s="8" t="s">
        <v>180</v>
      </c>
      <c r="H255" s="8">
        <v>8248438488</v>
      </c>
      <c r="I255" s="10" t="s">
        <v>30</v>
      </c>
      <c r="J255" s="8" t="s">
        <v>181</v>
      </c>
      <c r="K255" s="8" t="s">
        <v>27</v>
      </c>
      <c r="L255" s="8" t="s">
        <v>28</v>
      </c>
      <c r="M255" s="2" t="s">
        <v>146</v>
      </c>
      <c r="N255" s="6" t="s">
        <v>138</v>
      </c>
      <c r="O255" s="11">
        <v>550</v>
      </c>
      <c r="P255" s="2" t="s">
        <v>418</v>
      </c>
      <c r="Q255" s="12" t="str">
        <f t="shared" si="32"/>
        <v>23</v>
      </c>
      <c r="R255" s="12" t="str">
        <f t="shared" si="33"/>
        <v>05</v>
      </c>
      <c r="S255" s="6" t="s">
        <v>129</v>
      </c>
      <c r="T255" s="1" t="s">
        <v>130</v>
      </c>
      <c r="U255" s="6" t="s">
        <v>148</v>
      </c>
      <c r="V255" s="1" t="s">
        <v>143</v>
      </c>
      <c r="W255" s="1" t="s">
        <v>133</v>
      </c>
      <c r="X255" s="5">
        <v>46210</v>
      </c>
      <c r="Y255" s="1">
        <f t="shared" si="35"/>
        <v>76</v>
      </c>
      <c r="Z255" s="5">
        <v>46210</v>
      </c>
      <c r="AA255" s="3"/>
      <c r="AB255" s="3"/>
      <c r="AD255" s="133" t="str">
        <f t="shared" si="31"/>
        <v>Closed In July</v>
      </c>
    </row>
    <row r="256" spans="1:30" hidden="1">
      <c r="A256" s="9">
        <v>46134</v>
      </c>
      <c r="B256" s="1">
        <v>2026</v>
      </c>
      <c r="C256" s="8" t="s">
        <v>26</v>
      </c>
      <c r="D256" s="11" t="s">
        <v>179</v>
      </c>
      <c r="E256" s="1"/>
      <c r="F256" s="1" t="s">
        <v>19</v>
      </c>
      <c r="G256" s="8" t="s">
        <v>180</v>
      </c>
      <c r="H256" s="8">
        <v>8248438488</v>
      </c>
      <c r="I256" s="10" t="s">
        <v>30</v>
      </c>
      <c r="J256" s="8" t="s">
        <v>181</v>
      </c>
      <c r="K256" s="8" t="s">
        <v>27</v>
      </c>
      <c r="L256" s="8" t="s">
        <v>28</v>
      </c>
      <c r="M256" s="2" t="s">
        <v>146</v>
      </c>
      <c r="N256" s="6" t="s">
        <v>138</v>
      </c>
      <c r="O256" s="11">
        <v>550</v>
      </c>
      <c r="P256" s="2" t="s">
        <v>419</v>
      </c>
      <c r="Q256" s="12" t="str">
        <f t="shared" ref="Q256:Q264" si="36">MID(P256,5,2)</f>
        <v>23</v>
      </c>
      <c r="R256" s="12" t="str">
        <f t="shared" ref="R256:R264" si="37">MID(P256,7,2)</f>
        <v>05</v>
      </c>
      <c r="S256" s="6" t="s">
        <v>129</v>
      </c>
      <c r="T256" s="1" t="s">
        <v>130</v>
      </c>
      <c r="U256" s="6" t="s">
        <v>148</v>
      </c>
      <c r="V256" s="1" t="s">
        <v>143</v>
      </c>
      <c r="W256" s="1" t="s">
        <v>133</v>
      </c>
      <c r="X256" s="5">
        <v>46210</v>
      </c>
      <c r="Y256" s="1">
        <f t="shared" ref="Y256:Y265" si="38">X256-A256</f>
        <v>76</v>
      </c>
      <c r="Z256" s="5">
        <v>46210</v>
      </c>
      <c r="AA256" s="3"/>
      <c r="AB256" s="3"/>
      <c r="AD256" s="133" t="str">
        <f t="shared" si="31"/>
        <v>Closed In July</v>
      </c>
    </row>
    <row r="257" spans="1:30" hidden="1">
      <c r="A257" s="9">
        <v>46134</v>
      </c>
      <c r="B257" s="1">
        <v>2026</v>
      </c>
      <c r="C257" s="8" t="s">
        <v>26</v>
      </c>
      <c r="D257" s="11" t="s">
        <v>179</v>
      </c>
      <c r="E257" s="1"/>
      <c r="F257" s="1" t="s">
        <v>19</v>
      </c>
      <c r="G257" s="8" t="s">
        <v>180</v>
      </c>
      <c r="H257" s="8">
        <v>8248438488</v>
      </c>
      <c r="I257" s="10" t="s">
        <v>30</v>
      </c>
      <c r="J257" s="8" t="s">
        <v>181</v>
      </c>
      <c r="K257" s="8" t="s">
        <v>27</v>
      </c>
      <c r="L257" s="8" t="s">
        <v>28</v>
      </c>
      <c r="M257" s="2" t="s">
        <v>146</v>
      </c>
      <c r="N257" s="6" t="s">
        <v>138</v>
      </c>
      <c r="O257" s="11">
        <v>550</v>
      </c>
      <c r="P257" s="2" t="s">
        <v>420</v>
      </c>
      <c r="Q257" s="12" t="str">
        <f t="shared" si="36"/>
        <v>23</v>
      </c>
      <c r="R257" s="12" t="str">
        <f t="shared" si="37"/>
        <v>05</v>
      </c>
      <c r="S257" s="6" t="s">
        <v>129</v>
      </c>
      <c r="T257" s="1" t="s">
        <v>130</v>
      </c>
      <c r="U257" s="6" t="s">
        <v>148</v>
      </c>
      <c r="V257" s="1" t="s">
        <v>143</v>
      </c>
      <c r="W257" s="1" t="s">
        <v>133</v>
      </c>
      <c r="X257" s="5">
        <v>46210</v>
      </c>
      <c r="Y257" s="1">
        <f t="shared" si="38"/>
        <v>76</v>
      </c>
      <c r="Z257" s="5">
        <v>46210</v>
      </c>
      <c r="AA257" s="3"/>
      <c r="AB257" s="3"/>
      <c r="AD257" s="133" t="str">
        <f t="shared" si="31"/>
        <v>Closed In July</v>
      </c>
    </row>
    <row r="258" spans="1:30" hidden="1">
      <c r="A258" s="9">
        <v>46134</v>
      </c>
      <c r="B258" s="1">
        <v>2026</v>
      </c>
      <c r="C258" s="8" t="s">
        <v>26</v>
      </c>
      <c r="D258" s="11" t="s">
        <v>179</v>
      </c>
      <c r="E258" s="1"/>
      <c r="F258" s="1" t="s">
        <v>19</v>
      </c>
      <c r="G258" s="8" t="s">
        <v>180</v>
      </c>
      <c r="H258" s="8">
        <v>8248438488</v>
      </c>
      <c r="I258" s="10" t="s">
        <v>30</v>
      </c>
      <c r="J258" s="8" t="s">
        <v>181</v>
      </c>
      <c r="K258" s="8" t="s">
        <v>27</v>
      </c>
      <c r="L258" s="8" t="s">
        <v>28</v>
      </c>
      <c r="M258" s="2" t="s">
        <v>146</v>
      </c>
      <c r="N258" s="6" t="s">
        <v>138</v>
      </c>
      <c r="O258" s="11">
        <v>550</v>
      </c>
      <c r="P258" s="2" t="s">
        <v>421</v>
      </c>
      <c r="Q258" s="12" t="str">
        <f t="shared" si="36"/>
        <v>23</v>
      </c>
      <c r="R258" s="12" t="str">
        <f t="shared" si="37"/>
        <v>05</v>
      </c>
      <c r="S258" s="6" t="s">
        <v>129</v>
      </c>
      <c r="T258" s="1" t="s">
        <v>130</v>
      </c>
      <c r="U258" s="6" t="s">
        <v>148</v>
      </c>
      <c r="V258" s="1" t="s">
        <v>143</v>
      </c>
      <c r="W258" s="1" t="s">
        <v>133</v>
      </c>
      <c r="X258" s="5">
        <v>46210</v>
      </c>
      <c r="Y258" s="1">
        <f t="shared" si="38"/>
        <v>76</v>
      </c>
      <c r="Z258" s="5">
        <v>46210</v>
      </c>
      <c r="AA258" s="3"/>
      <c r="AB258" s="3"/>
      <c r="AD258" s="133" t="str">
        <f t="shared" si="31"/>
        <v>Closed In July</v>
      </c>
    </row>
    <row r="259" spans="1:30" hidden="1">
      <c r="A259" s="9">
        <v>46134</v>
      </c>
      <c r="B259" s="1">
        <v>2026</v>
      </c>
      <c r="C259" s="8" t="s">
        <v>26</v>
      </c>
      <c r="D259" s="11" t="s">
        <v>179</v>
      </c>
      <c r="E259" s="1"/>
      <c r="F259" s="1" t="s">
        <v>19</v>
      </c>
      <c r="G259" s="8" t="s">
        <v>180</v>
      </c>
      <c r="H259" s="8">
        <v>8248438488</v>
      </c>
      <c r="I259" s="10" t="s">
        <v>30</v>
      </c>
      <c r="J259" s="8" t="s">
        <v>181</v>
      </c>
      <c r="K259" s="8" t="s">
        <v>27</v>
      </c>
      <c r="L259" s="8" t="s">
        <v>28</v>
      </c>
      <c r="M259" s="2" t="s">
        <v>146</v>
      </c>
      <c r="N259" s="6" t="s">
        <v>138</v>
      </c>
      <c r="O259" s="11">
        <v>550</v>
      </c>
      <c r="P259" s="2" t="s">
        <v>422</v>
      </c>
      <c r="Q259" s="12" t="str">
        <f t="shared" si="36"/>
        <v>23</v>
      </c>
      <c r="R259" s="12" t="str">
        <f t="shared" si="37"/>
        <v>05</v>
      </c>
      <c r="S259" s="6" t="s">
        <v>129</v>
      </c>
      <c r="T259" s="1" t="s">
        <v>130</v>
      </c>
      <c r="U259" s="6" t="s">
        <v>148</v>
      </c>
      <c r="V259" s="1" t="s">
        <v>143</v>
      </c>
      <c r="W259" s="1" t="s">
        <v>133</v>
      </c>
      <c r="X259" s="5">
        <v>46210</v>
      </c>
      <c r="Y259" s="1">
        <f t="shared" si="38"/>
        <v>76</v>
      </c>
      <c r="Z259" s="5">
        <v>46210</v>
      </c>
      <c r="AA259" s="3"/>
      <c r="AB259" s="3"/>
      <c r="AD259" s="133" t="str">
        <f t="shared" ref="AD259:AD322" si="39">IF(AND(F259="Closed",X259&gt;=DATE(2026,7,1),X259&lt;=DATE(2026,7,31)),"Closed In July","Other")</f>
        <v>Closed In July</v>
      </c>
    </row>
    <row r="260" spans="1:30" hidden="1">
      <c r="A260" s="9">
        <v>46134</v>
      </c>
      <c r="B260" s="1">
        <v>2026</v>
      </c>
      <c r="C260" s="8" t="s">
        <v>26</v>
      </c>
      <c r="D260" s="11" t="s">
        <v>179</v>
      </c>
      <c r="E260" s="1"/>
      <c r="F260" s="1" t="s">
        <v>19</v>
      </c>
      <c r="G260" s="8" t="s">
        <v>180</v>
      </c>
      <c r="H260" s="8">
        <v>8248438488</v>
      </c>
      <c r="I260" s="10" t="s">
        <v>30</v>
      </c>
      <c r="J260" s="8" t="s">
        <v>181</v>
      </c>
      <c r="K260" s="8" t="s">
        <v>27</v>
      </c>
      <c r="L260" s="8" t="s">
        <v>28</v>
      </c>
      <c r="M260" s="2" t="s">
        <v>146</v>
      </c>
      <c r="N260" s="6" t="s">
        <v>138</v>
      </c>
      <c r="O260" s="11">
        <v>550</v>
      </c>
      <c r="P260" s="2" t="s">
        <v>423</v>
      </c>
      <c r="Q260" s="12" t="str">
        <f t="shared" si="36"/>
        <v>23</v>
      </c>
      <c r="R260" s="12" t="str">
        <f t="shared" si="37"/>
        <v>05</v>
      </c>
      <c r="S260" s="6" t="s">
        <v>129</v>
      </c>
      <c r="T260" s="1" t="s">
        <v>130</v>
      </c>
      <c r="U260" s="6" t="s">
        <v>148</v>
      </c>
      <c r="V260" s="1" t="s">
        <v>143</v>
      </c>
      <c r="W260" s="1" t="s">
        <v>133</v>
      </c>
      <c r="X260" s="5">
        <v>46210</v>
      </c>
      <c r="Y260" s="1">
        <f t="shared" si="38"/>
        <v>76</v>
      </c>
      <c r="Z260" s="5">
        <v>46210</v>
      </c>
      <c r="AA260" s="3"/>
      <c r="AB260" s="3"/>
      <c r="AD260" s="133" t="str">
        <f t="shared" si="39"/>
        <v>Closed In July</v>
      </c>
    </row>
    <row r="261" spans="1:30" hidden="1">
      <c r="A261" s="9">
        <v>46134</v>
      </c>
      <c r="B261" s="1">
        <v>2026</v>
      </c>
      <c r="C261" s="8" t="s">
        <v>26</v>
      </c>
      <c r="D261" s="11" t="s">
        <v>179</v>
      </c>
      <c r="E261" s="1"/>
      <c r="F261" s="1" t="s">
        <v>19</v>
      </c>
      <c r="G261" s="8" t="s">
        <v>180</v>
      </c>
      <c r="H261" s="8">
        <v>8248438488</v>
      </c>
      <c r="I261" s="10" t="s">
        <v>30</v>
      </c>
      <c r="J261" s="8" t="s">
        <v>181</v>
      </c>
      <c r="K261" s="8" t="s">
        <v>27</v>
      </c>
      <c r="L261" s="8" t="s">
        <v>28</v>
      </c>
      <c r="M261" s="2" t="s">
        <v>146</v>
      </c>
      <c r="N261" s="6" t="s">
        <v>138</v>
      </c>
      <c r="O261" s="11">
        <v>550</v>
      </c>
      <c r="P261" s="2" t="s">
        <v>424</v>
      </c>
      <c r="Q261" s="12" t="str">
        <f t="shared" si="36"/>
        <v>23</v>
      </c>
      <c r="R261" s="12" t="str">
        <f t="shared" si="37"/>
        <v>05</v>
      </c>
      <c r="S261" s="6" t="s">
        <v>129</v>
      </c>
      <c r="T261" s="1" t="s">
        <v>130</v>
      </c>
      <c r="U261" s="6" t="s">
        <v>148</v>
      </c>
      <c r="V261" s="1" t="s">
        <v>143</v>
      </c>
      <c r="W261" s="1" t="s">
        <v>133</v>
      </c>
      <c r="X261" s="5">
        <v>46210</v>
      </c>
      <c r="Y261" s="1">
        <f t="shared" si="38"/>
        <v>76</v>
      </c>
      <c r="Z261" s="5">
        <v>46210</v>
      </c>
      <c r="AA261" s="3"/>
      <c r="AB261" s="3"/>
      <c r="AD261" s="133" t="str">
        <f t="shared" si="39"/>
        <v>Closed In July</v>
      </c>
    </row>
    <row r="262" spans="1:30" hidden="1">
      <c r="A262" s="9">
        <v>46134</v>
      </c>
      <c r="B262" s="1">
        <v>2026</v>
      </c>
      <c r="C262" s="8" t="s">
        <v>26</v>
      </c>
      <c r="D262" s="11" t="s">
        <v>179</v>
      </c>
      <c r="E262" s="1"/>
      <c r="F262" s="1" t="s">
        <v>19</v>
      </c>
      <c r="G262" s="8" t="s">
        <v>180</v>
      </c>
      <c r="H262" s="8">
        <v>8248438488</v>
      </c>
      <c r="I262" s="10" t="s">
        <v>30</v>
      </c>
      <c r="J262" s="8" t="s">
        <v>181</v>
      </c>
      <c r="K262" s="8" t="s">
        <v>27</v>
      </c>
      <c r="L262" s="8" t="s">
        <v>28</v>
      </c>
      <c r="M262" s="2" t="s">
        <v>146</v>
      </c>
      <c r="N262" s="6" t="s">
        <v>138</v>
      </c>
      <c r="O262" s="11">
        <v>550</v>
      </c>
      <c r="P262" s="2" t="s">
        <v>425</v>
      </c>
      <c r="Q262" s="12" t="str">
        <f t="shared" si="36"/>
        <v>23</v>
      </c>
      <c r="R262" s="12" t="str">
        <f t="shared" si="37"/>
        <v>05</v>
      </c>
      <c r="S262" s="6" t="s">
        <v>129</v>
      </c>
      <c r="T262" s="1" t="s">
        <v>130</v>
      </c>
      <c r="U262" s="6" t="s">
        <v>148</v>
      </c>
      <c r="V262" s="1" t="s">
        <v>143</v>
      </c>
      <c r="W262" s="1" t="s">
        <v>133</v>
      </c>
      <c r="X262" s="5">
        <v>46210</v>
      </c>
      <c r="Y262" s="1">
        <f t="shared" si="38"/>
        <v>76</v>
      </c>
      <c r="Z262" s="5">
        <v>46210</v>
      </c>
      <c r="AA262" s="3"/>
      <c r="AB262" s="3"/>
      <c r="AD262" s="133" t="str">
        <f t="shared" si="39"/>
        <v>Closed In July</v>
      </c>
    </row>
    <row r="263" spans="1:30" hidden="1">
      <c r="A263" s="9">
        <v>46134</v>
      </c>
      <c r="B263" s="1">
        <v>2026</v>
      </c>
      <c r="C263" s="8" t="s">
        <v>26</v>
      </c>
      <c r="D263" s="11" t="s">
        <v>179</v>
      </c>
      <c r="E263" s="1"/>
      <c r="F263" s="1" t="s">
        <v>19</v>
      </c>
      <c r="G263" s="8" t="s">
        <v>180</v>
      </c>
      <c r="H263" s="8">
        <v>8248438488</v>
      </c>
      <c r="I263" s="10" t="s">
        <v>30</v>
      </c>
      <c r="J263" s="8" t="s">
        <v>181</v>
      </c>
      <c r="K263" s="8" t="s">
        <v>27</v>
      </c>
      <c r="L263" s="8" t="s">
        <v>28</v>
      </c>
      <c r="M263" s="2" t="s">
        <v>152</v>
      </c>
      <c r="N263" s="6" t="s">
        <v>138</v>
      </c>
      <c r="O263" s="11">
        <v>550</v>
      </c>
      <c r="P263" s="2" t="s">
        <v>426</v>
      </c>
      <c r="Q263" s="12" t="str">
        <f t="shared" si="36"/>
        <v>23</v>
      </c>
      <c r="R263" s="12" t="str">
        <f t="shared" si="37"/>
        <v>05</v>
      </c>
      <c r="S263" s="6" t="s">
        <v>129</v>
      </c>
      <c r="T263" s="1" t="s">
        <v>130</v>
      </c>
      <c r="U263" s="6" t="s">
        <v>154</v>
      </c>
      <c r="V263" s="1" t="s">
        <v>143</v>
      </c>
      <c r="W263" s="1" t="s">
        <v>133</v>
      </c>
      <c r="X263" s="5">
        <v>46210</v>
      </c>
      <c r="Y263" s="1">
        <f t="shared" si="38"/>
        <v>76</v>
      </c>
      <c r="Z263" s="5">
        <v>46210</v>
      </c>
      <c r="AA263" s="3"/>
      <c r="AB263" s="3"/>
      <c r="AD263" s="133" t="str">
        <f t="shared" si="39"/>
        <v>Closed In July</v>
      </c>
    </row>
    <row r="264" spans="1:30" hidden="1">
      <c r="A264" s="9">
        <v>46134</v>
      </c>
      <c r="B264" s="1">
        <v>2026</v>
      </c>
      <c r="C264" s="8" t="s">
        <v>26</v>
      </c>
      <c r="D264" s="11" t="s">
        <v>179</v>
      </c>
      <c r="E264" s="1"/>
      <c r="F264" s="1" t="s">
        <v>19</v>
      </c>
      <c r="G264" s="8" t="s">
        <v>180</v>
      </c>
      <c r="H264" s="8">
        <v>8248438488</v>
      </c>
      <c r="I264" s="10" t="s">
        <v>30</v>
      </c>
      <c r="J264" s="8" t="s">
        <v>181</v>
      </c>
      <c r="K264" s="8" t="s">
        <v>27</v>
      </c>
      <c r="L264" s="8" t="s">
        <v>28</v>
      </c>
      <c r="M264" s="2" t="s">
        <v>146</v>
      </c>
      <c r="N264" s="6" t="s">
        <v>138</v>
      </c>
      <c r="O264" s="11">
        <v>550</v>
      </c>
      <c r="P264" s="2" t="s">
        <v>427</v>
      </c>
      <c r="Q264" s="12" t="str">
        <f t="shared" si="36"/>
        <v>23</v>
      </c>
      <c r="R264" s="12" t="str">
        <f t="shared" si="37"/>
        <v>06</v>
      </c>
      <c r="S264" s="6" t="s">
        <v>129</v>
      </c>
      <c r="T264" s="1" t="s">
        <v>130</v>
      </c>
      <c r="U264" s="6" t="s">
        <v>148</v>
      </c>
      <c r="V264" s="1" t="s">
        <v>143</v>
      </c>
      <c r="W264" s="1" t="s">
        <v>133</v>
      </c>
      <c r="X264" s="5">
        <v>46210</v>
      </c>
      <c r="Y264" s="1">
        <f t="shared" si="38"/>
        <v>76</v>
      </c>
      <c r="Z264" s="5">
        <v>46210</v>
      </c>
      <c r="AA264" s="3"/>
      <c r="AB264" s="3"/>
      <c r="AD264" s="133" t="str">
        <f t="shared" si="39"/>
        <v>Closed In July</v>
      </c>
    </row>
    <row r="265" spans="1:30" hidden="1">
      <c r="A265" s="9">
        <v>46143</v>
      </c>
      <c r="B265" s="1">
        <v>2026</v>
      </c>
      <c r="C265" s="8" t="s">
        <v>33</v>
      </c>
      <c r="D265" s="8" t="s">
        <v>134</v>
      </c>
      <c r="E265" s="1"/>
      <c r="F265" s="1" t="s">
        <v>38</v>
      </c>
      <c r="G265" s="18" t="s">
        <v>428</v>
      </c>
      <c r="H265" s="8">
        <v>9983975581</v>
      </c>
      <c r="I265" s="10" t="s">
        <v>37</v>
      </c>
      <c r="J265" s="8" t="s">
        <v>429</v>
      </c>
      <c r="K265" s="11" t="s">
        <v>34</v>
      </c>
      <c r="L265" s="11" t="s">
        <v>35</v>
      </c>
      <c r="M265" s="2" t="s">
        <v>430</v>
      </c>
      <c r="N265" s="6" t="s">
        <v>431</v>
      </c>
      <c r="O265" s="11">
        <v>575</v>
      </c>
      <c r="P265" s="2" t="s">
        <v>432</v>
      </c>
      <c r="Q265" s="12" t="str">
        <f t="shared" ref="Q265" si="40">MID(P265,5,2)</f>
        <v>24</v>
      </c>
      <c r="R265" s="12" t="str">
        <f t="shared" ref="R265" si="41">MID(P265,7,2)</f>
        <v>07</v>
      </c>
      <c r="S265" s="6" t="s">
        <v>140</v>
      </c>
      <c r="T265" s="1" t="s">
        <v>141</v>
      </c>
      <c r="U265" s="6" t="s">
        <v>433</v>
      </c>
      <c r="V265" s="1" t="s">
        <v>258</v>
      </c>
      <c r="W265" s="1" t="s">
        <v>1165</v>
      </c>
      <c r="X265" s="6"/>
      <c r="Y265" s="1">
        <f t="shared" si="38"/>
        <v>-46143</v>
      </c>
      <c r="Z265" s="5">
        <v>46210</v>
      </c>
      <c r="AA265" s="3"/>
      <c r="AB265" s="3"/>
      <c r="AD265" s="133" t="str">
        <f t="shared" si="39"/>
        <v>Other</v>
      </c>
    </row>
    <row r="266" spans="1:30" hidden="1">
      <c r="A266" s="9">
        <v>46143</v>
      </c>
      <c r="B266" s="1">
        <v>2026</v>
      </c>
      <c r="C266" s="8" t="s">
        <v>33</v>
      </c>
      <c r="D266" s="8" t="s">
        <v>134</v>
      </c>
      <c r="E266" s="1"/>
      <c r="F266" s="1" t="s">
        <v>38</v>
      </c>
      <c r="G266" s="18" t="s">
        <v>428</v>
      </c>
      <c r="H266" s="8">
        <v>9983975581</v>
      </c>
      <c r="I266" s="10" t="s">
        <v>37</v>
      </c>
      <c r="J266" s="8" t="s">
        <v>429</v>
      </c>
      <c r="K266" s="11" t="s">
        <v>34</v>
      </c>
      <c r="L266" s="11" t="s">
        <v>35</v>
      </c>
      <c r="M266" s="2" t="s">
        <v>430</v>
      </c>
      <c r="N266" s="6" t="s">
        <v>431</v>
      </c>
      <c r="O266" s="11">
        <v>575</v>
      </c>
      <c r="P266" s="2" t="s">
        <v>434</v>
      </c>
      <c r="Q266" s="12" t="str">
        <f t="shared" ref="Q266:Q277" si="42">MID(P266,5,2)</f>
        <v>24</v>
      </c>
      <c r="R266" s="12" t="str">
        <f t="shared" ref="R266:R277" si="43">MID(P266,7,2)</f>
        <v>07</v>
      </c>
      <c r="S266" s="6" t="s">
        <v>140</v>
      </c>
      <c r="T266" s="1" t="s">
        <v>141</v>
      </c>
      <c r="U266" s="6" t="s">
        <v>433</v>
      </c>
      <c r="V266" s="1" t="s">
        <v>258</v>
      </c>
      <c r="W266" s="1" t="s">
        <v>1165</v>
      </c>
      <c r="X266" s="6"/>
      <c r="Y266" s="1">
        <f t="shared" ref="Y266:Y277" si="44">X266-A266</f>
        <v>-46143</v>
      </c>
      <c r="Z266" s="5">
        <v>46210</v>
      </c>
      <c r="AA266" s="3"/>
      <c r="AB266" s="3"/>
      <c r="AD266" s="133" t="str">
        <f t="shared" si="39"/>
        <v>Other</v>
      </c>
    </row>
    <row r="267" spans="1:30" hidden="1">
      <c r="A267" s="9">
        <v>46143</v>
      </c>
      <c r="B267" s="1">
        <v>2026</v>
      </c>
      <c r="C267" s="8" t="s">
        <v>33</v>
      </c>
      <c r="D267" s="8" t="s">
        <v>134</v>
      </c>
      <c r="E267" s="1"/>
      <c r="F267" s="1" t="s">
        <v>38</v>
      </c>
      <c r="G267" s="18" t="s">
        <v>428</v>
      </c>
      <c r="H267" s="8">
        <v>9983975581</v>
      </c>
      <c r="I267" s="10" t="s">
        <v>37</v>
      </c>
      <c r="J267" s="8" t="s">
        <v>429</v>
      </c>
      <c r="K267" s="11" t="s">
        <v>34</v>
      </c>
      <c r="L267" s="11" t="s">
        <v>35</v>
      </c>
      <c r="M267" s="2" t="s">
        <v>430</v>
      </c>
      <c r="N267" s="6" t="s">
        <v>431</v>
      </c>
      <c r="O267" s="11">
        <v>575</v>
      </c>
      <c r="P267" s="2" t="s">
        <v>435</v>
      </c>
      <c r="Q267" s="12" t="str">
        <f t="shared" si="42"/>
        <v>24</v>
      </c>
      <c r="R267" s="12" t="str">
        <f t="shared" si="43"/>
        <v>07</v>
      </c>
      <c r="S267" s="6" t="s">
        <v>140</v>
      </c>
      <c r="T267" s="1" t="s">
        <v>141</v>
      </c>
      <c r="U267" s="6" t="s">
        <v>433</v>
      </c>
      <c r="V267" s="1" t="s">
        <v>258</v>
      </c>
      <c r="W267" s="1" t="s">
        <v>1165</v>
      </c>
      <c r="X267" s="6"/>
      <c r="Y267" s="1">
        <f t="shared" si="44"/>
        <v>-46143</v>
      </c>
      <c r="Z267" s="5">
        <v>46210</v>
      </c>
      <c r="AA267" s="3"/>
      <c r="AB267" s="3"/>
      <c r="AD267" s="133" t="str">
        <f t="shared" si="39"/>
        <v>Other</v>
      </c>
    </row>
    <row r="268" spans="1:30" hidden="1">
      <c r="A268" s="9">
        <v>46143</v>
      </c>
      <c r="B268" s="1">
        <v>2026</v>
      </c>
      <c r="C268" s="8" t="s">
        <v>33</v>
      </c>
      <c r="D268" s="8" t="s">
        <v>134</v>
      </c>
      <c r="E268" s="1"/>
      <c r="F268" s="1" t="s">
        <v>38</v>
      </c>
      <c r="G268" s="18" t="s">
        <v>428</v>
      </c>
      <c r="H268" s="8">
        <v>9983975581</v>
      </c>
      <c r="I268" s="10" t="s">
        <v>37</v>
      </c>
      <c r="J268" s="8" t="s">
        <v>429</v>
      </c>
      <c r="K268" s="11" t="s">
        <v>34</v>
      </c>
      <c r="L268" s="11" t="s">
        <v>35</v>
      </c>
      <c r="M268" s="2" t="s">
        <v>430</v>
      </c>
      <c r="N268" s="6" t="s">
        <v>431</v>
      </c>
      <c r="O268" s="11">
        <v>575</v>
      </c>
      <c r="P268" s="2" t="s">
        <v>436</v>
      </c>
      <c r="Q268" s="12" t="str">
        <f t="shared" si="42"/>
        <v>24</v>
      </c>
      <c r="R268" s="12" t="str">
        <f t="shared" si="43"/>
        <v>07</v>
      </c>
      <c r="S268" s="6" t="s">
        <v>140</v>
      </c>
      <c r="T268" s="1" t="s">
        <v>141</v>
      </c>
      <c r="U268" s="6" t="s">
        <v>433</v>
      </c>
      <c r="V268" s="1" t="s">
        <v>258</v>
      </c>
      <c r="W268" s="1" t="s">
        <v>1165</v>
      </c>
      <c r="X268" s="6"/>
      <c r="Y268" s="1">
        <f t="shared" si="44"/>
        <v>-46143</v>
      </c>
      <c r="Z268" s="5">
        <v>46210</v>
      </c>
      <c r="AA268" s="3"/>
      <c r="AB268" s="3"/>
      <c r="AD268" s="133" t="str">
        <f t="shared" si="39"/>
        <v>Other</v>
      </c>
    </row>
    <row r="269" spans="1:30" hidden="1">
      <c r="A269" s="9">
        <v>46143</v>
      </c>
      <c r="B269" s="1">
        <v>2026</v>
      </c>
      <c r="C269" s="8" t="s">
        <v>33</v>
      </c>
      <c r="D269" s="8" t="s">
        <v>134</v>
      </c>
      <c r="E269" s="1"/>
      <c r="F269" s="1" t="s">
        <v>38</v>
      </c>
      <c r="G269" s="18" t="s">
        <v>428</v>
      </c>
      <c r="H269" s="8">
        <v>9983975581</v>
      </c>
      <c r="I269" s="10" t="s">
        <v>37</v>
      </c>
      <c r="J269" s="8" t="s">
        <v>429</v>
      </c>
      <c r="K269" s="11" t="s">
        <v>34</v>
      </c>
      <c r="L269" s="11" t="s">
        <v>35</v>
      </c>
      <c r="M269" s="2" t="s">
        <v>430</v>
      </c>
      <c r="N269" s="6" t="s">
        <v>431</v>
      </c>
      <c r="O269" s="11">
        <v>575</v>
      </c>
      <c r="P269" s="2" t="s">
        <v>437</v>
      </c>
      <c r="Q269" s="12" t="str">
        <f t="shared" si="42"/>
        <v>24</v>
      </c>
      <c r="R269" s="12" t="str">
        <f t="shared" si="43"/>
        <v>07</v>
      </c>
      <c r="S269" s="6" t="s">
        <v>140</v>
      </c>
      <c r="T269" s="1" t="s">
        <v>141</v>
      </c>
      <c r="U269" s="6" t="s">
        <v>433</v>
      </c>
      <c r="V269" s="1" t="s">
        <v>258</v>
      </c>
      <c r="W269" s="1" t="s">
        <v>1165</v>
      </c>
      <c r="X269" s="6"/>
      <c r="Y269" s="1">
        <f t="shared" si="44"/>
        <v>-46143</v>
      </c>
      <c r="Z269" s="5">
        <v>46210</v>
      </c>
      <c r="AA269" s="3"/>
      <c r="AB269" s="3"/>
      <c r="AD269" s="133" t="str">
        <f t="shared" si="39"/>
        <v>Other</v>
      </c>
    </row>
    <row r="270" spans="1:30" hidden="1">
      <c r="A270" s="9">
        <v>46143</v>
      </c>
      <c r="B270" s="1">
        <v>2026</v>
      </c>
      <c r="C270" s="8" t="s">
        <v>33</v>
      </c>
      <c r="D270" s="8" t="s">
        <v>134</v>
      </c>
      <c r="E270" s="1"/>
      <c r="F270" s="1" t="s">
        <v>38</v>
      </c>
      <c r="G270" s="18" t="s">
        <v>428</v>
      </c>
      <c r="H270" s="8">
        <v>9983975581</v>
      </c>
      <c r="I270" s="10" t="s">
        <v>37</v>
      </c>
      <c r="J270" s="8" t="s">
        <v>429</v>
      </c>
      <c r="K270" s="11" t="s">
        <v>34</v>
      </c>
      <c r="L270" s="11" t="s">
        <v>35</v>
      </c>
      <c r="M270" s="2" t="s">
        <v>430</v>
      </c>
      <c r="N270" s="6" t="s">
        <v>431</v>
      </c>
      <c r="O270" s="11">
        <v>575</v>
      </c>
      <c r="P270" s="2" t="s">
        <v>438</v>
      </c>
      <c r="Q270" s="12" t="str">
        <f t="shared" si="42"/>
        <v>24</v>
      </c>
      <c r="R270" s="12" t="str">
        <f t="shared" si="43"/>
        <v>08</v>
      </c>
      <c r="S270" s="6" t="s">
        <v>140</v>
      </c>
      <c r="T270" s="1" t="s">
        <v>141</v>
      </c>
      <c r="U270" s="6" t="s">
        <v>433</v>
      </c>
      <c r="V270" s="1" t="s">
        <v>258</v>
      </c>
      <c r="W270" s="1" t="s">
        <v>1165</v>
      </c>
      <c r="X270" s="6"/>
      <c r="Y270" s="1">
        <f t="shared" si="44"/>
        <v>-46143</v>
      </c>
      <c r="Z270" s="5">
        <v>46210</v>
      </c>
      <c r="AA270" s="3"/>
      <c r="AB270" s="3"/>
      <c r="AD270" s="133" t="str">
        <f t="shared" si="39"/>
        <v>Other</v>
      </c>
    </row>
    <row r="271" spans="1:30" hidden="1">
      <c r="A271" s="9">
        <v>46143</v>
      </c>
      <c r="B271" s="1">
        <v>2026</v>
      </c>
      <c r="C271" s="8" t="s">
        <v>33</v>
      </c>
      <c r="D271" s="8" t="s">
        <v>134</v>
      </c>
      <c r="E271" s="1"/>
      <c r="F271" s="1" t="s">
        <v>19</v>
      </c>
      <c r="G271" s="18" t="s">
        <v>428</v>
      </c>
      <c r="H271" s="8">
        <v>9983975581</v>
      </c>
      <c r="I271" s="10" t="s">
        <v>37</v>
      </c>
      <c r="J271" s="8" t="s">
        <v>429</v>
      </c>
      <c r="K271" s="11" t="s">
        <v>34</v>
      </c>
      <c r="L271" s="11" t="s">
        <v>35</v>
      </c>
      <c r="M271" s="2" t="s">
        <v>439</v>
      </c>
      <c r="N271" s="8" t="s">
        <v>312</v>
      </c>
      <c r="O271" s="11">
        <v>575</v>
      </c>
      <c r="P271" s="2" t="s">
        <v>440</v>
      </c>
      <c r="Q271" s="12" t="str">
        <f t="shared" si="42"/>
        <v>24</v>
      </c>
      <c r="R271" s="12" t="str">
        <f t="shared" si="43"/>
        <v>07</v>
      </c>
      <c r="S271" s="6" t="s">
        <v>140</v>
      </c>
      <c r="T271" s="1" t="s">
        <v>141</v>
      </c>
      <c r="U271" s="26" t="s">
        <v>441</v>
      </c>
      <c r="V271" s="1" t="s">
        <v>258</v>
      </c>
      <c r="W271" s="1" t="s">
        <v>259</v>
      </c>
      <c r="X271" s="5">
        <v>46210</v>
      </c>
      <c r="Y271" s="1">
        <f t="shared" si="44"/>
        <v>67</v>
      </c>
      <c r="Z271" s="5">
        <v>46210</v>
      </c>
      <c r="AA271" s="3"/>
      <c r="AB271" s="3"/>
      <c r="AD271" s="133" t="str">
        <f t="shared" si="39"/>
        <v>Closed In July</v>
      </c>
    </row>
    <row r="272" spans="1:30" hidden="1">
      <c r="A272" s="9">
        <v>46143</v>
      </c>
      <c r="B272" s="1">
        <v>2026</v>
      </c>
      <c r="C272" s="8" t="s">
        <v>33</v>
      </c>
      <c r="D272" s="8" t="s">
        <v>134</v>
      </c>
      <c r="E272" s="1"/>
      <c r="F272" s="1" t="s">
        <v>19</v>
      </c>
      <c r="G272" s="18" t="s">
        <v>428</v>
      </c>
      <c r="H272" s="8">
        <v>9983975581</v>
      </c>
      <c r="I272" s="10" t="s">
        <v>37</v>
      </c>
      <c r="J272" s="8" t="s">
        <v>429</v>
      </c>
      <c r="K272" s="11" t="s">
        <v>34</v>
      </c>
      <c r="L272" s="11" t="s">
        <v>35</v>
      </c>
      <c r="M272" s="2" t="s">
        <v>439</v>
      </c>
      <c r="N272" s="8" t="s">
        <v>312</v>
      </c>
      <c r="O272" s="11">
        <v>575</v>
      </c>
      <c r="P272" s="2" t="s">
        <v>442</v>
      </c>
      <c r="Q272" s="12" t="str">
        <f t="shared" si="42"/>
        <v>24</v>
      </c>
      <c r="R272" s="12" t="str">
        <f t="shared" si="43"/>
        <v>07</v>
      </c>
      <c r="S272" s="6" t="s">
        <v>140</v>
      </c>
      <c r="T272" s="1" t="s">
        <v>141</v>
      </c>
      <c r="U272" s="26" t="s">
        <v>441</v>
      </c>
      <c r="V272" s="1" t="s">
        <v>258</v>
      </c>
      <c r="W272" s="1" t="s">
        <v>259</v>
      </c>
      <c r="X272" s="5">
        <v>46210</v>
      </c>
      <c r="Y272" s="1">
        <f t="shared" si="44"/>
        <v>67</v>
      </c>
      <c r="Z272" s="5">
        <v>46210</v>
      </c>
      <c r="AA272" s="3"/>
      <c r="AB272" s="3"/>
      <c r="AD272" s="133" t="str">
        <f t="shared" si="39"/>
        <v>Closed In July</v>
      </c>
    </row>
    <row r="273" spans="1:30" hidden="1">
      <c r="A273" s="9">
        <v>46143</v>
      </c>
      <c r="B273" s="1">
        <v>2026</v>
      </c>
      <c r="C273" s="8" t="s">
        <v>33</v>
      </c>
      <c r="D273" s="8" t="s">
        <v>134</v>
      </c>
      <c r="E273" s="1"/>
      <c r="F273" s="1" t="s">
        <v>38</v>
      </c>
      <c r="G273" s="18" t="s">
        <v>428</v>
      </c>
      <c r="H273" s="8">
        <v>9983975581</v>
      </c>
      <c r="I273" s="10" t="s">
        <v>37</v>
      </c>
      <c r="J273" s="8" t="s">
        <v>429</v>
      </c>
      <c r="K273" s="11" t="s">
        <v>34</v>
      </c>
      <c r="L273" s="11" t="s">
        <v>35</v>
      </c>
      <c r="M273" s="2" t="s">
        <v>430</v>
      </c>
      <c r="N273" s="6" t="s">
        <v>431</v>
      </c>
      <c r="O273" s="11">
        <v>575</v>
      </c>
      <c r="P273" s="2" t="s">
        <v>443</v>
      </c>
      <c r="Q273" s="12" t="str">
        <f t="shared" si="42"/>
        <v>24</v>
      </c>
      <c r="R273" s="12" t="str">
        <f t="shared" si="43"/>
        <v>07</v>
      </c>
      <c r="S273" s="6" t="s">
        <v>140</v>
      </c>
      <c r="T273" s="1" t="s">
        <v>141</v>
      </c>
      <c r="U273" s="6" t="s">
        <v>433</v>
      </c>
      <c r="V273" s="1" t="s">
        <v>258</v>
      </c>
      <c r="W273" s="1" t="s">
        <v>1165</v>
      </c>
      <c r="X273" s="6"/>
      <c r="Y273" s="1">
        <f t="shared" si="44"/>
        <v>-46143</v>
      </c>
      <c r="Z273" s="5">
        <v>46210</v>
      </c>
      <c r="AA273" s="3"/>
      <c r="AB273" s="3"/>
      <c r="AD273" s="133" t="str">
        <f t="shared" si="39"/>
        <v>Other</v>
      </c>
    </row>
    <row r="274" spans="1:30" hidden="1">
      <c r="A274" s="9">
        <v>46143</v>
      </c>
      <c r="B274" s="1">
        <v>2026</v>
      </c>
      <c r="C274" s="8" t="s">
        <v>33</v>
      </c>
      <c r="D274" s="8" t="s">
        <v>134</v>
      </c>
      <c r="E274" s="1"/>
      <c r="F274" s="1" t="s">
        <v>38</v>
      </c>
      <c r="G274" s="18" t="s">
        <v>428</v>
      </c>
      <c r="H274" s="8">
        <v>9983975581</v>
      </c>
      <c r="I274" s="10" t="s">
        <v>37</v>
      </c>
      <c r="J274" s="8" t="s">
        <v>429</v>
      </c>
      <c r="K274" s="11" t="s">
        <v>34</v>
      </c>
      <c r="L274" s="11" t="s">
        <v>35</v>
      </c>
      <c r="M274" s="2" t="s">
        <v>430</v>
      </c>
      <c r="N274" s="6" t="s">
        <v>431</v>
      </c>
      <c r="O274" s="11">
        <v>575</v>
      </c>
      <c r="P274" s="2" t="s">
        <v>444</v>
      </c>
      <c r="Q274" s="12" t="str">
        <f t="shared" si="42"/>
        <v>24</v>
      </c>
      <c r="R274" s="12" t="str">
        <f t="shared" si="43"/>
        <v>07</v>
      </c>
      <c r="S274" s="6" t="s">
        <v>140</v>
      </c>
      <c r="T274" s="1" t="s">
        <v>141</v>
      </c>
      <c r="U274" s="6" t="s">
        <v>433</v>
      </c>
      <c r="V274" s="1" t="s">
        <v>258</v>
      </c>
      <c r="W274" s="1" t="s">
        <v>1165</v>
      </c>
      <c r="X274" s="6"/>
      <c r="Y274" s="1">
        <f t="shared" si="44"/>
        <v>-46143</v>
      </c>
      <c r="Z274" s="5">
        <v>46210</v>
      </c>
      <c r="AA274" s="3"/>
      <c r="AB274" s="3"/>
      <c r="AD274" s="133" t="str">
        <f t="shared" si="39"/>
        <v>Other</v>
      </c>
    </row>
    <row r="275" spans="1:30" hidden="1">
      <c r="A275" s="9">
        <v>46143</v>
      </c>
      <c r="B275" s="1">
        <v>2026</v>
      </c>
      <c r="C275" s="8" t="s">
        <v>33</v>
      </c>
      <c r="D275" s="8" t="s">
        <v>134</v>
      </c>
      <c r="E275" s="1"/>
      <c r="F275" s="1" t="s">
        <v>38</v>
      </c>
      <c r="G275" s="18" t="s">
        <v>428</v>
      </c>
      <c r="H275" s="8">
        <v>9983975581</v>
      </c>
      <c r="I275" s="10" t="s">
        <v>37</v>
      </c>
      <c r="J275" s="8" t="s">
        <v>429</v>
      </c>
      <c r="K275" s="11" t="s">
        <v>34</v>
      </c>
      <c r="L275" s="11" t="s">
        <v>35</v>
      </c>
      <c r="M275" s="2" t="s">
        <v>430</v>
      </c>
      <c r="N275" s="6" t="s">
        <v>431</v>
      </c>
      <c r="O275" s="11">
        <v>575</v>
      </c>
      <c r="P275" s="2" t="s">
        <v>445</v>
      </c>
      <c r="Q275" s="12" t="str">
        <f t="shared" si="42"/>
        <v>24</v>
      </c>
      <c r="R275" s="12" t="str">
        <f t="shared" si="43"/>
        <v>07</v>
      </c>
      <c r="S275" s="6" t="s">
        <v>140</v>
      </c>
      <c r="T275" s="1" t="s">
        <v>141</v>
      </c>
      <c r="U275" s="6" t="s">
        <v>433</v>
      </c>
      <c r="V275" s="1" t="s">
        <v>258</v>
      </c>
      <c r="W275" s="1" t="s">
        <v>1165</v>
      </c>
      <c r="X275" s="6"/>
      <c r="Y275" s="1">
        <f t="shared" si="44"/>
        <v>-46143</v>
      </c>
      <c r="Z275" s="5">
        <v>46210</v>
      </c>
      <c r="AA275" s="3"/>
      <c r="AB275" s="3"/>
      <c r="AD275" s="133" t="str">
        <f t="shared" si="39"/>
        <v>Other</v>
      </c>
    </row>
    <row r="276" spans="1:30" hidden="1">
      <c r="A276" s="9">
        <v>46143</v>
      </c>
      <c r="B276" s="1">
        <v>2026</v>
      </c>
      <c r="C276" s="8" t="s">
        <v>33</v>
      </c>
      <c r="D276" s="8" t="s">
        <v>134</v>
      </c>
      <c r="E276" s="1"/>
      <c r="F276" s="1" t="s">
        <v>38</v>
      </c>
      <c r="G276" s="18" t="s">
        <v>428</v>
      </c>
      <c r="H276" s="8">
        <v>9983975581</v>
      </c>
      <c r="I276" s="10" t="s">
        <v>37</v>
      </c>
      <c r="J276" s="8" t="s">
        <v>429</v>
      </c>
      <c r="K276" s="11" t="s">
        <v>34</v>
      </c>
      <c r="L276" s="11" t="s">
        <v>35</v>
      </c>
      <c r="M276" s="2" t="s">
        <v>430</v>
      </c>
      <c r="N276" s="6" t="s">
        <v>431</v>
      </c>
      <c r="O276" s="11">
        <v>575</v>
      </c>
      <c r="P276" s="2" t="s">
        <v>446</v>
      </c>
      <c r="Q276" s="12" t="str">
        <f t="shared" si="42"/>
        <v>24</v>
      </c>
      <c r="R276" s="12" t="str">
        <f t="shared" si="43"/>
        <v>07</v>
      </c>
      <c r="S276" s="6" t="s">
        <v>140</v>
      </c>
      <c r="T276" s="1" t="s">
        <v>141</v>
      </c>
      <c r="U276" s="6" t="s">
        <v>433</v>
      </c>
      <c r="V276" s="1" t="s">
        <v>258</v>
      </c>
      <c r="W276" s="1" t="s">
        <v>1165</v>
      </c>
      <c r="X276" s="6"/>
      <c r="Y276" s="1">
        <f t="shared" si="44"/>
        <v>-46143</v>
      </c>
      <c r="Z276" s="5">
        <v>46210</v>
      </c>
      <c r="AA276" s="3"/>
      <c r="AB276" s="3"/>
      <c r="AD276" s="133" t="str">
        <f t="shared" si="39"/>
        <v>Other</v>
      </c>
    </row>
    <row r="277" spans="1:30" hidden="1">
      <c r="A277" s="9">
        <v>46134</v>
      </c>
      <c r="B277" s="1">
        <v>2026</v>
      </c>
      <c r="C277" s="8" t="s">
        <v>26</v>
      </c>
      <c r="D277" s="11" t="s">
        <v>179</v>
      </c>
      <c r="E277" s="1"/>
      <c r="F277" s="1" t="s">
        <v>19</v>
      </c>
      <c r="G277" s="8" t="s">
        <v>180</v>
      </c>
      <c r="H277" s="8">
        <v>8248438488</v>
      </c>
      <c r="I277" s="10" t="s">
        <v>30</v>
      </c>
      <c r="J277" s="8" t="s">
        <v>181</v>
      </c>
      <c r="K277" s="8" t="s">
        <v>27</v>
      </c>
      <c r="L277" s="8" t="s">
        <v>28</v>
      </c>
      <c r="M277" s="2" t="s">
        <v>146</v>
      </c>
      <c r="N277" s="6" t="s">
        <v>138</v>
      </c>
      <c r="O277" s="11">
        <v>550</v>
      </c>
      <c r="P277" s="2" t="s">
        <v>447</v>
      </c>
      <c r="Q277" s="12" t="str">
        <f t="shared" si="42"/>
        <v>23</v>
      </c>
      <c r="R277" s="12" t="str">
        <f t="shared" si="43"/>
        <v>06</v>
      </c>
      <c r="S277" s="6" t="s">
        <v>129</v>
      </c>
      <c r="T277" s="1" t="s">
        <v>130</v>
      </c>
      <c r="U277" s="6" t="s">
        <v>148</v>
      </c>
      <c r="V277" s="1" t="s">
        <v>143</v>
      </c>
      <c r="W277" s="1" t="s">
        <v>133</v>
      </c>
      <c r="X277" s="5">
        <v>46211</v>
      </c>
      <c r="Y277" s="1">
        <f t="shared" si="44"/>
        <v>77</v>
      </c>
      <c r="Z277" s="5">
        <v>46211</v>
      </c>
      <c r="AA277" s="3"/>
      <c r="AB277" s="3"/>
      <c r="AD277" s="133" t="str">
        <f t="shared" si="39"/>
        <v>Closed In July</v>
      </c>
    </row>
    <row r="278" spans="1:30" hidden="1">
      <c r="A278" s="9">
        <v>46134</v>
      </c>
      <c r="B278" s="1">
        <v>2026</v>
      </c>
      <c r="C278" s="8" t="s">
        <v>26</v>
      </c>
      <c r="D278" s="11" t="s">
        <v>179</v>
      </c>
      <c r="E278" s="1"/>
      <c r="F278" s="1" t="s">
        <v>19</v>
      </c>
      <c r="G278" s="8" t="s">
        <v>180</v>
      </c>
      <c r="H278" s="8">
        <v>8248438488</v>
      </c>
      <c r="I278" s="10" t="s">
        <v>30</v>
      </c>
      <c r="J278" s="8" t="s">
        <v>181</v>
      </c>
      <c r="K278" s="8" t="s">
        <v>27</v>
      </c>
      <c r="L278" s="8" t="s">
        <v>28</v>
      </c>
      <c r="M278" s="2" t="s">
        <v>146</v>
      </c>
      <c r="N278" s="6" t="s">
        <v>138</v>
      </c>
      <c r="O278" s="11">
        <v>550</v>
      </c>
      <c r="P278" s="2" t="s">
        <v>448</v>
      </c>
      <c r="Q278" s="12" t="str">
        <f t="shared" ref="Q278:Q288" si="45">MID(P278,5,2)</f>
        <v>23</v>
      </c>
      <c r="R278" s="12" t="str">
        <f t="shared" ref="R278:R288" si="46">MID(P278,7,2)</f>
        <v>05</v>
      </c>
      <c r="S278" s="6" t="s">
        <v>129</v>
      </c>
      <c r="T278" s="1" t="s">
        <v>130</v>
      </c>
      <c r="U278" s="6" t="s">
        <v>148</v>
      </c>
      <c r="V278" s="1" t="s">
        <v>143</v>
      </c>
      <c r="W278" s="1" t="s">
        <v>133</v>
      </c>
      <c r="X278" s="5">
        <v>46211</v>
      </c>
      <c r="Y278" s="1">
        <f t="shared" ref="Y278:Y289" si="47">X278-A278</f>
        <v>77</v>
      </c>
      <c r="Z278" s="5">
        <v>46211</v>
      </c>
      <c r="AA278" s="3"/>
      <c r="AB278" s="3"/>
      <c r="AD278" s="133" t="str">
        <f t="shared" si="39"/>
        <v>Closed In July</v>
      </c>
    </row>
    <row r="279" spans="1:30" hidden="1">
      <c r="A279" s="9">
        <v>46134</v>
      </c>
      <c r="B279" s="1">
        <v>2026</v>
      </c>
      <c r="C279" s="8" t="s">
        <v>26</v>
      </c>
      <c r="D279" s="11" t="s">
        <v>179</v>
      </c>
      <c r="E279" s="1"/>
      <c r="F279" s="1" t="s">
        <v>19</v>
      </c>
      <c r="G279" s="8" t="s">
        <v>180</v>
      </c>
      <c r="H279" s="8">
        <v>8248438488</v>
      </c>
      <c r="I279" s="10" t="s">
        <v>30</v>
      </c>
      <c r="J279" s="8" t="s">
        <v>181</v>
      </c>
      <c r="K279" s="8" t="s">
        <v>27</v>
      </c>
      <c r="L279" s="8" t="s">
        <v>28</v>
      </c>
      <c r="M279" s="2" t="s">
        <v>146</v>
      </c>
      <c r="N279" s="6" t="s">
        <v>138</v>
      </c>
      <c r="O279" s="11">
        <v>550</v>
      </c>
      <c r="P279" s="2" t="s">
        <v>449</v>
      </c>
      <c r="Q279" s="12" t="str">
        <f t="shared" si="45"/>
        <v>23</v>
      </c>
      <c r="R279" s="12" t="str">
        <f t="shared" si="46"/>
        <v>06</v>
      </c>
      <c r="S279" s="6" t="s">
        <v>129</v>
      </c>
      <c r="T279" s="1" t="s">
        <v>130</v>
      </c>
      <c r="U279" s="6" t="s">
        <v>148</v>
      </c>
      <c r="V279" s="1" t="s">
        <v>143</v>
      </c>
      <c r="W279" s="1" t="s">
        <v>133</v>
      </c>
      <c r="X279" s="5">
        <v>46211</v>
      </c>
      <c r="Y279" s="1">
        <f t="shared" si="47"/>
        <v>77</v>
      </c>
      <c r="Z279" s="5">
        <v>46211</v>
      </c>
      <c r="AA279" s="3"/>
      <c r="AB279" s="3"/>
      <c r="AD279" s="133" t="str">
        <f t="shared" si="39"/>
        <v>Closed In July</v>
      </c>
    </row>
    <row r="280" spans="1:30" hidden="1">
      <c r="A280" s="9">
        <v>46134</v>
      </c>
      <c r="B280" s="1">
        <v>2026</v>
      </c>
      <c r="C280" s="8" t="s">
        <v>26</v>
      </c>
      <c r="D280" s="11" t="s">
        <v>179</v>
      </c>
      <c r="E280" s="1"/>
      <c r="F280" s="1" t="s">
        <v>19</v>
      </c>
      <c r="G280" s="8" t="s">
        <v>180</v>
      </c>
      <c r="H280" s="8">
        <v>8248438488</v>
      </c>
      <c r="I280" s="10" t="s">
        <v>30</v>
      </c>
      <c r="J280" s="8" t="s">
        <v>181</v>
      </c>
      <c r="K280" s="8" t="s">
        <v>27</v>
      </c>
      <c r="L280" s="8" t="s">
        <v>28</v>
      </c>
      <c r="M280" s="2" t="s">
        <v>146</v>
      </c>
      <c r="N280" s="6" t="s">
        <v>138</v>
      </c>
      <c r="O280" s="11">
        <v>550</v>
      </c>
      <c r="P280" s="2" t="s">
        <v>450</v>
      </c>
      <c r="Q280" s="12" t="str">
        <f t="shared" si="45"/>
        <v>23</v>
      </c>
      <c r="R280" s="12" t="str">
        <f t="shared" si="46"/>
        <v>05</v>
      </c>
      <c r="S280" s="6" t="s">
        <v>129</v>
      </c>
      <c r="T280" s="1" t="s">
        <v>130</v>
      </c>
      <c r="U280" s="6" t="s">
        <v>148</v>
      </c>
      <c r="V280" s="1" t="s">
        <v>143</v>
      </c>
      <c r="W280" s="1" t="s">
        <v>133</v>
      </c>
      <c r="X280" s="5">
        <v>46211</v>
      </c>
      <c r="Y280" s="1">
        <f t="shared" si="47"/>
        <v>77</v>
      </c>
      <c r="Z280" s="5">
        <v>46211</v>
      </c>
      <c r="AA280" s="3"/>
      <c r="AB280" s="3"/>
      <c r="AD280" s="133" t="str">
        <f t="shared" si="39"/>
        <v>Closed In July</v>
      </c>
    </row>
    <row r="281" spans="1:30" hidden="1">
      <c r="A281" s="9">
        <v>46134</v>
      </c>
      <c r="B281" s="1">
        <v>2026</v>
      </c>
      <c r="C281" s="8" t="s">
        <v>26</v>
      </c>
      <c r="D281" s="11" t="s">
        <v>179</v>
      </c>
      <c r="E281" s="1"/>
      <c r="F281" s="1" t="s">
        <v>19</v>
      </c>
      <c r="G281" s="8" t="s">
        <v>180</v>
      </c>
      <c r="H281" s="8">
        <v>8248438488</v>
      </c>
      <c r="I281" s="10" t="s">
        <v>30</v>
      </c>
      <c r="J281" s="8" t="s">
        <v>181</v>
      </c>
      <c r="K281" s="8" t="s">
        <v>27</v>
      </c>
      <c r="L281" s="8" t="s">
        <v>28</v>
      </c>
      <c r="M281" s="2" t="s">
        <v>146</v>
      </c>
      <c r="N281" s="6" t="s">
        <v>138</v>
      </c>
      <c r="O281" s="11">
        <v>550</v>
      </c>
      <c r="P281" s="2" t="s">
        <v>451</v>
      </c>
      <c r="Q281" s="12" t="str">
        <f t="shared" si="45"/>
        <v>23</v>
      </c>
      <c r="R281" s="12" t="str">
        <f t="shared" si="46"/>
        <v>05</v>
      </c>
      <c r="S281" s="6" t="s">
        <v>129</v>
      </c>
      <c r="T281" s="1" t="s">
        <v>130</v>
      </c>
      <c r="U281" s="6" t="s">
        <v>148</v>
      </c>
      <c r="V281" s="1" t="s">
        <v>143</v>
      </c>
      <c r="W281" s="1" t="s">
        <v>133</v>
      </c>
      <c r="X281" s="5">
        <v>46211</v>
      </c>
      <c r="Y281" s="1">
        <f t="shared" si="47"/>
        <v>77</v>
      </c>
      <c r="Z281" s="5">
        <v>46211</v>
      </c>
      <c r="AA281" s="3"/>
      <c r="AB281" s="3"/>
      <c r="AD281" s="133" t="str">
        <f t="shared" si="39"/>
        <v>Closed In July</v>
      </c>
    </row>
    <row r="282" spans="1:30" hidden="1">
      <c r="A282" s="9">
        <v>46134</v>
      </c>
      <c r="B282" s="1">
        <v>2026</v>
      </c>
      <c r="C282" s="8" t="s">
        <v>26</v>
      </c>
      <c r="D282" s="11" t="s">
        <v>179</v>
      </c>
      <c r="E282" s="1"/>
      <c r="F282" s="1" t="s">
        <v>19</v>
      </c>
      <c r="G282" s="8" t="s">
        <v>180</v>
      </c>
      <c r="H282" s="8">
        <v>8248438488</v>
      </c>
      <c r="I282" s="10" t="s">
        <v>30</v>
      </c>
      <c r="J282" s="8" t="s">
        <v>181</v>
      </c>
      <c r="K282" s="8" t="s">
        <v>27</v>
      </c>
      <c r="L282" s="8" t="s">
        <v>28</v>
      </c>
      <c r="M282" s="2" t="s">
        <v>146</v>
      </c>
      <c r="N282" s="6" t="s">
        <v>138</v>
      </c>
      <c r="O282" s="11">
        <v>550</v>
      </c>
      <c r="P282" s="2" t="s">
        <v>452</v>
      </c>
      <c r="Q282" s="12" t="str">
        <f t="shared" si="45"/>
        <v>23</v>
      </c>
      <c r="R282" s="12" t="str">
        <f t="shared" si="46"/>
        <v>05</v>
      </c>
      <c r="S282" s="6" t="s">
        <v>129</v>
      </c>
      <c r="T282" s="1" t="s">
        <v>130</v>
      </c>
      <c r="U282" s="6" t="s">
        <v>148</v>
      </c>
      <c r="V282" s="1" t="s">
        <v>143</v>
      </c>
      <c r="W282" s="1" t="s">
        <v>133</v>
      </c>
      <c r="X282" s="5">
        <v>46211</v>
      </c>
      <c r="Y282" s="1">
        <f t="shared" si="47"/>
        <v>77</v>
      </c>
      <c r="Z282" s="5">
        <v>46211</v>
      </c>
      <c r="AA282" s="3"/>
      <c r="AB282" s="3"/>
      <c r="AD282" s="133" t="str">
        <f t="shared" si="39"/>
        <v>Closed In July</v>
      </c>
    </row>
    <row r="283" spans="1:30" hidden="1">
      <c r="A283" s="9">
        <v>46134</v>
      </c>
      <c r="B283" s="1">
        <v>2026</v>
      </c>
      <c r="C283" s="8" t="s">
        <v>26</v>
      </c>
      <c r="D283" s="11" t="s">
        <v>179</v>
      </c>
      <c r="E283" s="1"/>
      <c r="F283" s="1" t="s">
        <v>19</v>
      </c>
      <c r="G283" s="8" t="s">
        <v>180</v>
      </c>
      <c r="H283" s="8">
        <v>8248438488</v>
      </c>
      <c r="I283" s="10" t="s">
        <v>30</v>
      </c>
      <c r="J283" s="8" t="s">
        <v>181</v>
      </c>
      <c r="K283" s="8" t="s">
        <v>27</v>
      </c>
      <c r="L283" s="8" t="s">
        <v>28</v>
      </c>
      <c r="M283" s="2" t="s">
        <v>146</v>
      </c>
      <c r="N283" s="6" t="s">
        <v>138</v>
      </c>
      <c r="O283" s="11">
        <v>550</v>
      </c>
      <c r="P283" s="2" t="s">
        <v>453</v>
      </c>
      <c r="Q283" s="12" t="str">
        <f t="shared" si="45"/>
        <v>23</v>
      </c>
      <c r="R283" s="12" t="str">
        <f t="shared" si="46"/>
        <v>05</v>
      </c>
      <c r="S283" s="6" t="s">
        <v>129</v>
      </c>
      <c r="T283" s="1" t="s">
        <v>130</v>
      </c>
      <c r="U283" s="6" t="s">
        <v>148</v>
      </c>
      <c r="V283" s="1" t="s">
        <v>143</v>
      </c>
      <c r="W283" s="1" t="s">
        <v>133</v>
      </c>
      <c r="X283" s="5">
        <v>46211</v>
      </c>
      <c r="Y283" s="1">
        <f t="shared" si="47"/>
        <v>77</v>
      </c>
      <c r="Z283" s="5">
        <v>46211</v>
      </c>
      <c r="AA283" s="3"/>
      <c r="AB283" s="3"/>
      <c r="AD283" s="133" t="str">
        <f t="shared" si="39"/>
        <v>Closed In July</v>
      </c>
    </row>
    <row r="284" spans="1:30" hidden="1">
      <c r="A284" s="9">
        <v>46134</v>
      </c>
      <c r="B284" s="1">
        <v>2026</v>
      </c>
      <c r="C284" s="8" t="s">
        <v>26</v>
      </c>
      <c r="D284" s="11" t="s">
        <v>179</v>
      </c>
      <c r="E284" s="1"/>
      <c r="F284" s="1" t="s">
        <v>19</v>
      </c>
      <c r="G284" s="8" t="s">
        <v>180</v>
      </c>
      <c r="H284" s="8">
        <v>8248438488</v>
      </c>
      <c r="I284" s="10" t="s">
        <v>30</v>
      </c>
      <c r="J284" s="8" t="s">
        <v>181</v>
      </c>
      <c r="K284" s="8" t="s">
        <v>27</v>
      </c>
      <c r="L284" s="8" t="s">
        <v>28</v>
      </c>
      <c r="M284" s="2" t="s">
        <v>146</v>
      </c>
      <c r="N284" s="6" t="s">
        <v>138</v>
      </c>
      <c r="O284" s="11">
        <v>550</v>
      </c>
      <c r="P284" s="2" t="s">
        <v>454</v>
      </c>
      <c r="Q284" s="12" t="str">
        <f t="shared" si="45"/>
        <v>23</v>
      </c>
      <c r="R284" s="12" t="str">
        <f t="shared" si="46"/>
        <v>05</v>
      </c>
      <c r="S284" s="6" t="s">
        <v>129</v>
      </c>
      <c r="T284" s="1" t="s">
        <v>130</v>
      </c>
      <c r="U284" s="6" t="s">
        <v>148</v>
      </c>
      <c r="V284" s="1" t="s">
        <v>143</v>
      </c>
      <c r="W284" s="1" t="s">
        <v>133</v>
      </c>
      <c r="X284" s="5">
        <v>46211</v>
      </c>
      <c r="Y284" s="1">
        <f t="shared" si="47"/>
        <v>77</v>
      </c>
      <c r="Z284" s="5">
        <v>46211</v>
      </c>
      <c r="AA284" s="3"/>
      <c r="AB284" s="3"/>
      <c r="AD284" s="133" t="str">
        <f t="shared" si="39"/>
        <v>Closed In July</v>
      </c>
    </row>
    <row r="285" spans="1:30" hidden="1">
      <c r="A285" s="9">
        <v>46134</v>
      </c>
      <c r="B285" s="1">
        <v>2026</v>
      </c>
      <c r="C285" s="8" t="s">
        <v>26</v>
      </c>
      <c r="D285" s="11" t="s">
        <v>179</v>
      </c>
      <c r="E285" s="1"/>
      <c r="F285" s="1" t="s">
        <v>19</v>
      </c>
      <c r="G285" s="8" t="s">
        <v>180</v>
      </c>
      <c r="H285" s="8">
        <v>8248438488</v>
      </c>
      <c r="I285" s="10" t="s">
        <v>30</v>
      </c>
      <c r="J285" s="8" t="s">
        <v>181</v>
      </c>
      <c r="K285" s="8" t="s">
        <v>27</v>
      </c>
      <c r="L285" s="8" t="s">
        <v>28</v>
      </c>
      <c r="M285" s="2" t="s">
        <v>126</v>
      </c>
      <c r="N285" s="1" t="s">
        <v>127</v>
      </c>
      <c r="O285" s="11">
        <v>550</v>
      </c>
      <c r="P285" s="2" t="s">
        <v>455</v>
      </c>
      <c r="Q285" s="12" t="str">
        <f t="shared" si="45"/>
        <v>23</v>
      </c>
      <c r="R285" s="12" t="str">
        <f t="shared" si="46"/>
        <v>05</v>
      </c>
      <c r="S285" s="6" t="s">
        <v>129</v>
      </c>
      <c r="T285" s="1" t="s">
        <v>130</v>
      </c>
      <c r="U285" s="6" t="s">
        <v>145</v>
      </c>
      <c r="V285" s="6" t="s">
        <v>132</v>
      </c>
      <c r="W285" s="1" t="s">
        <v>133</v>
      </c>
      <c r="X285" s="5">
        <v>46211</v>
      </c>
      <c r="Y285" s="1">
        <f t="shared" si="47"/>
        <v>77</v>
      </c>
      <c r="Z285" s="5">
        <v>46211</v>
      </c>
      <c r="AA285" s="3"/>
      <c r="AB285" s="3"/>
      <c r="AD285" s="133" t="str">
        <f t="shared" si="39"/>
        <v>Closed In July</v>
      </c>
    </row>
    <row r="286" spans="1:30" hidden="1">
      <c r="A286" s="9">
        <v>46134</v>
      </c>
      <c r="B286" s="1">
        <v>2026</v>
      </c>
      <c r="C286" s="8" t="s">
        <v>26</v>
      </c>
      <c r="D286" s="11" t="s">
        <v>179</v>
      </c>
      <c r="E286" s="1"/>
      <c r="F286" s="1" t="s">
        <v>19</v>
      </c>
      <c r="G286" s="8" t="s">
        <v>180</v>
      </c>
      <c r="H286" s="8">
        <v>8248438488</v>
      </c>
      <c r="I286" s="10" t="s">
        <v>30</v>
      </c>
      <c r="J286" s="8" t="s">
        <v>181</v>
      </c>
      <c r="K286" s="8" t="s">
        <v>27</v>
      </c>
      <c r="L286" s="8" t="s">
        <v>28</v>
      </c>
      <c r="M286" s="2" t="s">
        <v>146</v>
      </c>
      <c r="N286" s="6" t="s">
        <v>138</v>
      </c>
      <c r="O286" s="11">
        <v>550</v>
      </c>
      <c r="P286" s="2" t="s">
        <v>456</v>
      </c>
      <c r="Q286" s="12" t="str">
        <f t="shared" si="45"/>
        <v>23</v>
      </c>
      <c r="R286" s="12" t="str">
        <f t="shared" si="46"/>
        <v>05</v>
      </c>
      <c r="S286" s="6" t="s">
        <v>129</v>
      </c>
      <c r="T286" s="1" t="s">
        <v>130</v>
      </c>
      <c r="U286" s="6" t="s">
        <v>148</v>
      </c>
      <c r="V286" s="1" t="s">
        <v>143</v>
      </c>
      <c r="W286" s="1" t="s">
        <v>133</v>
      </c>
      <c r="X286" s="5">
        <v>46211</v>
      </c>
      <c r="Y286" s="1">
        <f t="shared" si="47"/>
        <v>77</v>
      </c>
      <c r="Z286" s="5">
        <v>46211</v>
      </c>
      <c r="AA286" s="3"/>
      <c r="AB286" s="3"/>
      <c r="AD286" s="133" t="str">
        <f t="shared" si="39"/>
        <v>Closed In July</v>
      </c>
    </row>
    <row r="287" spans="1:30" hidden="1">
      <c r="A287" s="9">
        <v>46134</v>
      </c>
      <c r="B287" s="1">
        <v>2026</v>
      </c>
      <c r="C287" s="8" t="s">
        <v>26</v>
      </c>
      <c r="D287" s="11" t="s">
        <v>179</v>
      </c>
      <c r="E287" s="1"/>
      <c r="F287" s="1" t="s">
        <v>19</v>
      </c>
      <c r="G287" s="8" t="s">
        <v>180</v>
      </c>
      <c r="H287" s="8">
        <v>8248438488</v>
      </c>
      <c r="I287" s="10" t="s">
        <v>30</v>
      </c>
      <c r="J287" s="8" t="s">
        <v>181</v>
      </c>
      <c r="K287" s="8" t="s">
        <v>27</v>
      </c>
      <c r="L287" s="8" t="s">
        <v>28</v>
      </c>
      <c r="M287" s="2" t="s">
        <v>126</v>
      </c>
      <c r="N287" s="1" t="s">
        <v>127</v>
      </c>
      <c r="O287" s="11">
        <v>550</v>
      </c>
      <c r="P287" s="2" t="s">
        <v>457</v>
      </c>
      <c r="Q287" s="12" t="str">
        <f t="shared" si="45"/>
        <v>23</v>
      </c>
      <c r="R287" s="12" t="str">
        <f t="shared" si="46"/>
        <v>05</v>
      </c>
      <c r="S287" s="6" t="s">
        <v>129</v>
      </c>
      <c r="T287" s="1" t="s">
        <v>130</v>
      </c>
      <c r="U287" s="6" t="s">
        <v>145</v>
      </c>
      <c r="V287" s="6" t="s">
        <v>132</v>
      </c>
      <c r="W287" s="1" t="s">
        <v>133</v>
      </c>
      <c r="X287" s="5">
        <v>46211</v>
      </c>
      <c r="Y287" s="1">
        <f t="shared" si="47"/>
        <v>77</v>
      </c>
      <c r="Z287" s="5">
        <v>46211</v>
      </c>
      <c r="AA287" s="3"/>
      <c r="AB287" s="3"/>
      <c r="AD287" s="133" t="str">
        <f t="shared" si="39"/>
        <v>Closed In July</v>
      </c>
    </row>
    <row r="288" spans="1:30" hidden="1">
      <c r="A288" s="9">
        <v>46134</v>
      </c>
      <c r="B288" s="1">
        <v>2026</v>
      </c>
      <c r="C288" s="8" t="s">
        <v>26</v>
      </c>
      <c r="D288" s="11" t="s">
        <v>179</v>
      </c>
      <c r="E288" s="1"/>
      <c r="F288" s="1" t="s">
        <v>19</v>
      </c>
      <c r="G288" s="8" t="s">
        <v>180</v>
      </c>
      <c r="H288" s="8">
        <v>8248438488</v>
      </c>
      <c r="I288" s="10" t="s">
        <v>30</v>
      </c>
      <c r="J288" s="8" t="s">
        <v>181</v>
      </c>
      <c r="K288" s="8" t="s">
        <v>27</v>
      </c>
      <c r="L288" s="8" t="s">
        <v>28</v>
      </c>
      <c r="M288" s="2" t="s">
        <v>146</v>
      </c>
      <c r="N288" s="6" t="s">
        <v>138</v>
      </c>
      <c r="O288" s="11">
        <v>550</v>
      </c>
      <c r="P288" s="2" t="s">
        <v>458</v>
      </c>
      <c r="Q288" s="12" t="str">
        <f t="shared" si="45"/>
        <v>23</v>
      </c>
      <c r="R288" s="12" t="str">
        <f t="shared" si="46"/>
        <v>05</v>
      </c>
      <c r="S288" s="6" t="s">
        <v>129</v>
      </c>
      <c r="T288" s="1" t="s">
        <v>130</v>
      </c>
      <c r="U288" s="6" t="s">
        <v>148</v>
      </c>
      <c r="V288" s="1" t="s">
        <v>143</v>
      </c>
      <c r="W288" s="1" t="s">
        <v>133</v>
      </c>
      <c r="X288" s="5">
        <v>46211</v>
      </c>
      <c r="Y288" s="1">
        <f t="shared" si="47"/>
        <v>77</v>
      </c>
      <c r="Z288" s="5">
        <v>46211</v>
      </c>
      <c r="AA288" s="3"/>
      <c r="AB288" s="3"/>
      <c r="AD288" s="133" t="str">
        <f t="shared" si="39"/>
        <v>Closed In July</v>
      </c>
    </row>
    <row r="289" spans="1:30" hidden="1">
      <c r="A289" s="21">
        <v>46192</v>
      </c>
      <c r="B289" s="1">
        <v>2026</v>
      </c>
      <c r="C289" s="8" t="s">
        <v>39</v>
      </c>
      <c r="D289" s="8" t="s">
        <v>459</v>
      </c>
      <c r="E289" s="1"/>
      <c r="F289" s="1" t="s">
        <v>19</v>
      </c>
      <c r="G289" s="8" t="s">
        <v>460</v>
      </c>
      <c r="H289" s="8">
        <v>9100101979</v>
      </c>
      <c r="I289" s="10" t="s">
        <v>42</v>
      </c>
      <c r="J289" s="8" t="s">
        <v>461</v>
      </c>
      <c r="K289" s="8" t="s">
        <v>40</v>
      </c>
      <c r="L289" s="8" t="s">
        <v>41</v>
      </c>
      <c r="M289" s="2" t="s">
        <v>462</v>
      </c>
      <c r="N289" s="1" t="s">
        <v>127</v>
      </c>
      <c r="O289" s="11">
        <v>540</v>
      </c>
      <c r="P289" s="2" t="s">
        <v>463</v>
      </c>
      <c r="Q289" s="12" t="str">
        <f t="shared" ref="Q289" si="48">MID(P289,5,2)</f>
        <v>26</v>
      </c>
      <c r="R289" s="12" t="str">
        <f t="shared" ref="R289" si="49">MID(P289,7,2)</f>
        <v>02</v>
      </c>
      <c r="S289" s="6" t="s">
        <v>464</v>
      </c>
      <c r="T289" s="1" t="s">
        <v>130</v>
      </c>
      <c r="U289" s="6" t="s">
        <v>465</v>
      </c>
      <c r="V289" s="6" t="s">
        <v>132</v>
      </c>
      <c r="W289" s="1" t="s">
        <v>133</v>
      </c>
      <c r="X289" s="5">
        <v>46212</v>
      </c>
      <c r="Y289" s="1">
        <f t="shared" si="47"/>
        <v>20</v>
      </c>
      <c r="Z289" s="5">
        <v>46212</v>
      </c>
      <c r="AA289" s="3"/>
      <c r="AB289" s="3"/>
      <c r="AD289" s="133" t="str">
        <f t="shared" si="39"/>
        <v>Closed In July</v>
      </c>
    </row>
    <row r="290" spans="1:30" hidden="1">
      <c r="A290" s="21">
        <v>46192</v>
      </c>
      <c r="B290" s="1">
        <v>2026</v>
      </c>
      <c r="C290" s="8" t="s">
        <v>39</v>
      </c>
      <c r="D290" s="8" t="s">
        <v>459</v>
      </c>
      <c r="E290" s="1"/>
      <c r="F290" s="1" t="s">
        <v>19</v>
      </c>
      <c r="G290" s="8" t="s">
        <v>460</v>
      </c>
      <c r="H290" s="8">
        <v>9100101979</v>
      </c>
      <c r="I290" s="10" t="s">
        <v>42</v>
      </c>
      <c r="J290" s="8" t="s">
        <v>461</v>
      </c>
      <c r="K290" s="8" t="s">
        <v>40</v>
      </c>
      <c r="L290" s="8" t="s">
        <v>41</v>
      </c>
      <c r="M290" s="2" t="s">
        <v>462</v>
      </c>
      <c r="N290" s="1" t="s">
        <v>127</v>
      </c>
      <c r="O290" s="11">
        <v>540</v>
      </c>
      <c r="P290" s="2" t="s">
        <v>466</v>
      </c>
      <c r="Q290" s="12" t="str">
        <f t="shared" ref="Q290:Q291" si="50">MID(P290,5,2)</f>
        <v>26</v>
      </c>
      <c r="R290" s="12" t="str">
        <f t="shared" ref="R290:R291" si="51">MID(P290,7,2)</f>
        <v>02</v>
      </c>
      <c r="S290" s="6" t="s">
        <v>464</v>
      </c>
      <c r="T290" s="1" t="s">
        <v>130</v>
      </c>
      <c r="U290" s="6" t="s">
        <v>465</v>
      </c>
      <c r="V290" s="6" t="s">
        <v>132</v>
      </c>
      <c r="W290" s="1" t="s">
        <v>133</v>
      </c>
      <c r="X290" s="5">
        <v>46212</v>
      </c>
      <c r="Y290" s="1">
        <f t="shared" ref="Y290:Y291" si="52">X290-A290</f>
        <v>20</v>
      </c>
      <c r="Z290" s="5">
        <v>46212</v>
      </c>
      <c r="AA290" s="3"/>
      <c r="AB290" s="3"/>
      <c r="AD290" s="133" t="str">
        <f t="shared" si="39"/>
        <v>Closed In July</v>
      </c>
    </row>
    <row r="291" spans="1:30" hidden="1">
      <c r="A291" s="21">
        <v>46192</v>
      </c>
      <c r="B291" s="1">
        <v>2026</v>
      </c>
      <c r="C291" s="8" t="s">
        <v>39</v>
      </c>
      <c r="D291" s="8" t="s">
        <v>459</v>
      </c>
      <c r="E291" s="1"/>
      <c r="F291" s="1" t="s">
        <v>19</v>
      </c>
      <c r="G291" s="8" t="s">
        <v>460</v>
      </c>
      <c r="H291" s="8">
        <v>9100101979</v>
      </c>
      <c r="I291" s="10" t="s">
        <v>42</v>
      </c>
      <c r="J291" s="8" t="s">
        <v>461</v>
      </c>
      <c r="K291" s="8" t="s">
        <v>40</v>
      </c>
      <c r="L291" s="8" t="s">
        <v>41</v>
      </c>
      <c r="M291" s="2" t="s">
        <v>462</v>
      </c>
      <c r="N291" s="1" t="s">
        <v>127</v>
      </c>
      <c r="O291" s="11">
        <v>540</v>
      </c>
      <c r="P291" s="2" t="s">
        <v>467</v>
      </c>
      <c r="Q291" s="12" t="str">
        <f t="shared" si="50"/>
        <v>26</v>
      </c>
      <c r="R291" s="12" t="str">
        <f t="shared" si="51"/>
        <v>02</v>
      </c>
      <c r="S291" s="6" t="s">
        <v>464</v>
      </c>
      <c r="T291" s="1" t="s">
        <v>130</v>
      </c>
      <c r="U291" s="6" t="s">
        <v>468</v>
      </c>
      <c r="V291" s="6" t="s">
        <v>132</v>
      </c>
      <c r="W291" s="1" t="s">
        <v>133</v>
      </c>
      <c r="X291" s="5">
        <v>46212</v>
      </c>
      <c r="Y291" s="1">
        <f t="shared" si="52"/>
        <v>20</v>
      </c>
      <c r="Z291" s="5">
        <v>46212</v>
      </c>
      <c r="AA291" s="3"/>
      <c r="AB291" s="3"/>
      <c r="AD291" s="133" t="str">
        <f t="shared" si="39"/>
        <v>Closed In July</v>
      </c>
    </row>
    <row r="292" spans="1:30" hidden="1">
      <c r="A292" s="21">
        <v>46024</v>
      </c>
      <c r="B292" s="1">
        <v>2026</v>
      </c>
      <c r="C292" s="8" t="s">
        <v>52</v>
      </c>
      <c r="D292" s="8" t="s">
        <v>459</v>
      </c>
      <c r="E292" s="1"/>
      <c r="F292" s="1" t="s">
        <v>19</v>
      </c>
      <c r="G292" s="8" t="s">
        <v>469</v>
      </c>
      <c r="H292" s="8">
        <v>9703345015</v>
      </c>
      <c r="I292" s="17" t="s">
        <v>54</v>
      </c>
      <c r="J292" s="18" t="s">
        <v>470</v>
      </c>
      <c r="K292" s="8" t="s">
        <v>53</v>
      </c>
      <c r="L292" s="8" t="s">
        <v>35</v>
      </c>
      <c r="M292" s="2" t="s">
        <v>471</v>
      </c>
      <c r="N292" s="8" t="s">
        <v>472</v>
      </c>
      <c r="O292" s="8">
        <v>610</v>
      </c>
      <c r="P292" s="29" t="s">
        <v>473</v>
      </c>
      <c r="Q292" s="12" t="str">
        <f t="shared" ref="Q292" si="53">MID(P292,5,2)</f>
        <v>25</v>
      </c>
      <c r="R292" s="12" t="str">
        <f t="shared" ref="R292" si="54">MID(P292,7,2)</f>
        <v>10</v>
      </c>
      <c r="S292" s="6" t="s">
        <v>140</v>
      </c>
      <c r="T292" s="1" t="s">
        <v>474</v>
      </c>
      <c r="U292" s="8" t="s">
        <v>475</v>
      </c>
      <c r="V292" s="1" t="s">
        <v>258</v>
      </c>
      <c r="W292" s="1" t="s">
        <v>1112</v>
      </c>
      <c r="X292" s="5">
        <v>46213</v>
      </c>
      <c r="Y292" s="1">
        <f t="shared" ref="Y292" si="55">X292-A292</f>
        <v>189</v>
      </c>
      <c r="Z292" s="5">
        <v>46213</v>
      </c>
      <c r="AA292" s="3"/>
      <c r="AB292" s="3"/>
      <c r="AD292" s="133" t="str">
        <f t="shared" si="39"/>
        <v>Closed In July</v>
      </c>
    </row>
    <row r="293" spans="1:30" hidden="1">
      <c r="A293" s="21">
        <v>46024</v>
      </c>
      <c r="B293" s="1">
        <v>2026</v>
      </c>
      <c r="C293" s="8" t="s">
        <v>52</v>
      </c>
      <c r="D293" s="8" t="s">
        <v>459</v>
      </c>
      <c r="E293" s="1"/>
      <c r="F293" s="1" t="s">
        <v>19</v>
      </c>
      <c r="G293" s="8" t="s">
        <v>469</v>
      </c>
      <c r="H293" s="8">
        <v>9703345015</v>
      </c>
      <c r="I293" s="17" t="s">
        <v>54</v>
      </c>
      <c r="J293" s="18" t="s">
        <v>470</v>
      </c>
      <c r="K293" s="8" t="s">
        <v>53</v>
      </c>
      <c r="L293" s="8" t="s">
        <v>35</v>
      </c>
      <c r="M293" s="2" t="s">
        <v>471</v>
      </c>
      <c r="N293" s="8" t="s">
        <v>472</v>
      </c>
      <c r="O293" s="8">
        <v>610</v>
      </c>
      <c r="P293" s="29" t="s">
        <v>476</v>
      </c>
      <c r="Q293" s="12" t="str">
        <f t="shared" ref="Q293:Q320" si="56">MID(P293,5,2)</f>
        <v>25</v>
      </c>
      <c r="R293" s="12" t="str">
        <f t="shared" ref="R293:R320" si="57">MID(P293,7,2)</f>
        <v>10</v>
      </c>
      <c r="S293" s="6" t="s">
        <v>140</v>
      </c>
      <c r="T293" s="1" t="s">
        <v>474</v>
      </c>
      <c r="U293" s="8" t="s">
        <v>475</v>
      </c>
      <c r="V293" s="1" t="s">
        <v>258</v>
      </c>
      <c r="W293" s="1" t="s">
        <v>1112</v>
      </c>
      <c r="X293" s="5">
        <v>46213</v>
      </c>
      <c r="Y293" s="1">
        <f t="shared" ref="Y293:Y314" si="58">X293-A293</f>
        <v>189</v>
      </c>
      <c r="Z293" s="5">
        <v>46213</v>
      </c>
      <c r="AA293" s="3"/>
      <c r="AB293" s="3"/>
      <c r="AD293" s="133" t="str">
        <f t="shared" si="39"/>
        <v>Closed In July</v>
      </c>
    </row>
    <row r="294" spans="1:30" hidden="1">
      <c r="A294" s="21">
        <v>46024</v>
      </c>
      <c r="B294" s="1">
        <v>2026</v>
      </c>
      <c r="C294" s="8" t="s">
        <v>52</v>
      </c>
      <c r="D294" s="8" t="s">
        <v>459</v>
      </c>
      <c r="E294" s="1"/>
      <c r="F294" s="1" t="s">
        <v>19</v>
      </c>
      <c r="G294" s="8" t="s">
        <v>469</v>
      </c>
      <c r="H294" s="8">
        <v>9703345015</v>
      </c>
      <c r="I294" s="17" t="s">
        <v>54</v>
      </c>
      <c r="J294" s="18" t="s">
        <v>470</v>
      </c>
      <c r="K294" s="8" t="s">
        <v>53</v>
      </c>
      <c r="L294" s="8" t="s">
        <v>35</v>
      </c>
      <c r="M294" s="2" t="s">
        <v>471</v>
      </c>
      <c r="N294" s="8" t="s">
        <v>472</v>
      </c>
      <c r="O294" s="8">
        <v>610</v>
      </c>
      <c r="P294" s="29" t="s">
        <v>477</v>
      </c>
      <c r="Q294" s="12" t="str">
        <f t="shared" si="56"/>
        <v>25</v>
      </c>
      <c r="R294" s="12" t="str">
        <f t="shared" si="57"/>
        <v>10</v>
      </c>
      <c r="S294" s="6" t="s">
        <v>140</v>
      </c>
      <c r="T294" s="1" t="s">
        <v>474</v>
      </c>
      <c r="U294" s="8" t="s">
        <v>475</v>
      </c>
      <c r="V294" s="1" t="s">
        <v>258</v>
      </c>
      <c r="W294" s="1" t="s">
        <v>1112</v>
      </c>
      <c r="X294" s="5">
        <v>46213</v>
      </c>
      <c r="Y294" s="1">
        <f t="shared" si="58"/>
        <v>189</v>
      </c>
      <c r="Z294" s="5">
        <v>46213</v>
      </c>
      <c r="AA294" s="3"/>
      <c r="AB294" s="3"/>
      <c r="AD294" s="133" t="str">
        <f t="shared" si="39"/>
        <v>Closed In July</v>
      </c>
    </row>
    <row r="295" spans="1:30" hidden="1">
      <c r="A295" s="21">
        <v>46024</v>
      </c>
      <c r="B295" s="1">
        <v>2026</v>
      </c>
      <c r="C295" s="8" t="s">
        <v>52</v>
      </c>
      <c r="D295" s="8" t="s">
        <v>459</v>
      </c>
      <c r="E295" s="1"/>
      <c r="F295" s="1" t="s">
        <v>19</v>
      </c>
      <c r="G295" s="8" t="s">
        <v>469</v>
      </c>
      <c r="H295" s="8">
        <v>9703345015</v>
      </c>
      <c r="I295" s="17" t="s">
        <v>54</v>
      </c>
      <c r="J295" s="18" t="s">
        <v>470</v>
      </c>
      <c r="K295" s="8" t="s">
        <v>53</v>
      </c>
      <c r="L295" s="8" t="s">
        <v>35</v>
      </c>
      <c r="M295" s="2" t="s">
        <v>471</v>
      </c>
      <c r="N295" s="8" t="s">
        <v>472</v>
      </c>
      <c r="O295" s="8">
        <v>610</v>
      </c>
      <c r="P295" s="29" t="s">
        <v>478</v>
      </c>
      <c r="Q295" s="12" t="str">
        <f t="shared" si="56"/>
        <v>25</v>
      </c>
      <c r="R295" s="12" t="str">
        <f t="shared" si="57"/>
        <v>10</v>
      </c>
      <c r="S295" s="6" t="s">
        <v>140</v>
      </c>
      <c r="T295" s="1" t="s">
        <v>474</v>
      </c>
      <c r="U295" s="8" t="s">
        <v>475</v>
      </c>
      <c r="V295" s="1" t="s">
        <v>258</v>
      </c>
      <c r="W295" s="1" t="s">
        <v>1112</v>
      </c>
      <c r="X295" s="5">
        <v>46213</v>
      </c>
      <c r="Y295" s="1">
        <f t="shared" si="58"/>
        <v>189</v>
      </c>
      <c r="Z295" s="5">
        <v>46213</v>
      </c>
      <c r="AA295" s="3"/>
      <c r="AB295" s="3"/>
      <c r="AD295" s="133" t="str">
        <f t="shared" si="39"/>
        <v>Closed In July</v>
      </c>
    </row>
    <row r="296" spans="1:30" hidden="1">
      <c r="A296" s="21">
        <v>46024</v>
      </c>
      <c r="B296" s="1">
        <v>2026</v>
      </c>
      <c r="C296" s="8" t="s">
        <v>52</v>
      </c>
      <c r="D296" s="8" t="s">
        <v>459</v>
      </c>
      <c r="E296" s="1"/>
      <c r="F296" s="1" t="s">
        <v>19</v>
      </c>
      <c r="G296" s="8" t="s">
        <v>469</v>
      </c>
      <c r="H296" s="8">
        <v>9703345015</v>
      </c>
      <c r="I296" s="17" t="s">
        <v>54</v>
      </c>
      <c r="J296" s="18" t="s">
        <v>470</v>
      </c>
      <c r="K296" s="8" t="s">
        <v>53</v>
      </c>
      <c r="L296" s="8" t="s">
        <v>35</v>
      </c>
      <c r="M296" s="2" t="s">
        <v>471</v>
      </c>
      <c r="N296" s="8" t="s">
        <v>472</v>
      </c>
      <c r="O296" s="8">
        <v>610</v>
      </c>
      <c r="P296" s="29" t="s">
        <v>479</v>
      </c>
      <c r="Q296" s="12" t="str">
        <f t="shared" si="56"/>
        <v>25</v>
      </c>
      <c r="R296" s="12" t="str">
        <f t="shared" si="57"/>
        <v>10</v>
      </c>
      <c r="S296" s="6" t="s">
        <v>140</v>
      </c>
      <c r="T296" s="1" t="s">
        <v>474</v>
      </c>
      <c r="U296" s="8" t="s">
        <v>475</v>
      </c>
      <c r="V296" s="1" t="s">
        <v>258</v>
      </c>
      <c r="W296" s="1" t="s">
        <v>1112</v>
      </c>
      <c r="X296" s="5">
        <v>46213</v>
      </c>
      <c r="Y296" s="1">
        <f t="shared" si="58"/>
        <v>189</v>
      </c>
      <c r="Z296" s="5">
        <v>46213</v>
      </c>
      <c r="AA296" s="3"/>
      <c r="AB296" s="3"/>
      <c r="AD296" s="133" t="str">
        <f t="shared" si="39"/>
        <v>Closed In July</v>
      </c>
    </row>
    <row r="297" spans="1:30" hidden="1">
      <c r="A297" s="21">
        <v>46024</v>
      </c>
      <c r="B297" s="1">
        <v>2026</v>
      </c>
      <c r="C297" s="8" t="s">
        <v>52</v>
      </c>
      <c r="D297" s="8" t="s">
        <v>459</v>
      </c>
      <c r="E297" s="1"/>
      <c r="F297" s="1" t="s">
        <v>19</v>
      </c>
      <c r="G297" s="8" t="s">
        <v>469</v>
      </c>
      <c r="H297" s="8">
        <v>9703345015</v>
      </c>
      <c r="I297" s="17" t="s">
        <v>54</v>
      </c>
      <c r="J297" s="18" t="s">
        <v>470</v>
      </c>
      <c r="K297" s="8" t="s">
        <v>53</v>
      </c>
      <c r="L297" s="8" t="s">
        <v>35</v>
      </c>
      <c r="M297" s="2" t="s">
        <v>471</v>
      </c>
      <c r="N297" s="8" t="s">
        <v>472</v>
      </c>
      <c r="O297" s="8">
        <v>610</v>
      </c>
      <c r="P297" s="29" t="s">
        <v>480</v>
      </c>
      <c r="Q297" s="12" t="str">
        <f t="shared" si="56"/>
        <v>25</v>
      </c>
      <c r="R297" s="12" t="str">
        <f t="shared" si="57"/>
        <v>10</v>
      </c>
      <c r="S297" s="6" t="s">
        <v>140</v>
      </c>
      <c r="T297" s="1" t="s">
        <v>474</v>
      </c>
      <c r="U297" s="8" t="s">
        <v>475</v>
      </c>
      <c r="V297" s="1" t="s">
        <v>258</v>
      </c>
      <c r="W297" s="1" t="s">
        <v>1112</v>
      </c>
      <c r="X297" s="5">
        <v>46213</v>
      </c>
      <c r="Y297" s="1">
        <f t="shared" si="58"/>
        <v>189</v>
      </c>
      <c r="Z297" s="5">
        <v>46213</v>
      </c>
      <c r="AA297" s="3"/>
      <c r="AB297" s="3"/>
      <c r="AD297" s="133" t="str">
        <f t="shared" si="39"/>
        <v>Closed In July</v>
      </c>
    </row>
    <row r="298" spans="1:30" hidden="1">
      <c r="A298" s="21">
        <v>46024</v>
      </c>
      <c r="B298" s="1">
        <v>2026</v>
      </c>
      <c r="C298" s="8" t="s">
        <v>52</v>
      </c>
      <c r="D298" s="8" t="s">
        <v>459</v>
      </c>
      <c r="E298" s="1"/>
      <c r="F298" s="1" t="s">
        <v>19</v>
      </c>
      <c r="G298" s="8" t="s">
        <v>469</v>
      </c>
      <c r="H298" s="8">
        <v>9703345015</v>
      </c>
      <c r="I298" s="17" t="s">
        <v>54</v>
      </c>
      <c r="J298" s="18" t="s">
        <v>470</v>
      </c>
      <c r="K298" s="8" t="s">
        <v>53</v>
      </c>
      <c r="L298" s="8" t="s">
        <v>35</v>
      </c>
      <c r="M298" s="2" t="s">
        <v>471</v>
      </c>
      <c r="N298" s="8" t="s">
        <v>472</v>
      </c>
      <c r="O298" s="8">
        <v>610</v>
      </c>
      <c r="P298" s="29" t="s">
        <v>481</v>
      </c>
      <c r="Q298" s="12" t="str">
        <f t="shared" si="56"/>
        <v>25</v>
      </c>
      <c r="R298" s="12" t="str">
        <f t="shared" si="57"/>
        <v>10</v>
      </c>
      <c r="S298" s="6" t="s">
        <v>140</v>
      </c>
      <c r="T298" s="1" t="s">
        <v>474</v>
      </c>
      <c r="U298" s="8" t="s">
        <v>475</v>
      </c>
      <c r="V298" s="1" t="s">
        <v>258</v>
      </c>
      <c r="W298" s="1" t="s">
        <v>1112</v>
      </c>
      <c r="X298" s="5">
        <v>46213</v>
      </c>
      <c r="Y298" s="1">
        <f t="shared" si="58"/>
        <v>189</v>
      </c>
      <c r="Z298" s="5">
        <v>46213</v>
      </c>
      <c r="AA298" s="3"/>
      <c r="AB298" s="3"/>
      <c r="AD298" s="133" t="str">
        <f t="shared" si="39"/>
        <v>Closed In July</v>
      </c>
    </row>
    <row r="299" spans="1:30" hidden="1">
      <c r="A299" s="21">
        <v>46024</v>
      </c>
      <c r="B299" s="1">
        <v>2026</v>
      </c>
      <c r="C299" s="8" t="s">
        <v>52</v>
      </c>
      <c r="D299" s="8" t="s">
        <v>459</v>
      </c>
      <c r="E299" s="1"/>
      <c r="F299" s="1" t="s">
        <v>19</v>
      </c>
      <c r="G299" s="8" t="s">
        <v>469</v>
      </c>
      <c r="H299" s="8">
        <v>9703345015</v>
      </c>
      <c r="I299" s="17" t="s">
        <v>54</v>
      </c>
      <c r="J299" s="18" t="s">
        <v>470</v>
      </c>
      <c r="K299" s="8" t="s">
        <v>53</v>
      </c>
      <c r="L299" s="8" t="s">
        <v>35</v>
      </c>
      <c r="M299" s="2" t="s">
        <v>471</v>
      </c>
      <c r="N299" s="8" t="s">
        <v>472</v>
      </c>
      <c r="O299" s="8">
        <v>610</v>
      </c>
      <c r="P299" s="29" t="s">
        <v>482</v>
      </c>
      <c r="Q299" s="12" t="str">
        <f t="shared" si="56"/>
        <v>25</v>
      </c>
      <c r="R299" s="12" t="str">
        <f t="shared" si="57"/>
        <v>10</v>
      </c>
      <c r="S299" s="6" t="s">
        <v>140</v>
      </c>
      <c r="T299" s="1" t="s">
        <v>474</v>
      </c>
      <c r="U299" s="8" t="s">
        <v>475</v>
      </c>
      <c r="V299" s="1" t="s">
        <v>258</v>
      </c>
      <c r="W299" s="1" t="s">
        <v>1112</v>
      </c>
      <c r="X299" s="5">
        <v>46213</v>
      </c>
      <c r="Y299" s="1">
        <f t="shared" si="58"/>
        <v>189</v>
      </c>
      <c r="Z299" s="5">
        <v>46213</v>
      </c>
      <c r="AA299" s="3"/>
      <c r="AB299" s="3"/>
      <c r="AD299" s="133" t="str">
        <f t="shared" si="39"/>
        <v>Closed In July</v>
      </c>
    </row>
    <row r="300" spans="1:30" hidden="1">
      <c r="A300" s="21">
        <v>46024</v>
      </c>
      <c r="B300" s="1">
        <v>2026</v>
      </c>
      <c r="C300" s="8" t="s">
        <v>52</v>
      </c>
      <c r="D300" s="8" t="s">
        <v>459</v>
      </c>
      <c r="E300" s="1"/>
      <c r="F300" s="1" t="s">
        <v>19</v>
      </c>
      <c r="G300" s="8" t="s">
        <v>469</v>
      </c>
      <c r="H300" s="8">
        <v>9703345015</v>
      </c>
      <c r="I300" s="17" t="s">
        <v>54</v>
      </c>
      <c r="J300" s="18" t="s">
        <v>470</v>
      </c>
      <c r="K300" s="8" t="s">
        <v>53</v>
      </c>
      <c r="L300" s="8" t="s">
        <v>35</v>
      </c>
      <c r="M300" s="2" t="s">
        <v>471</v>
      </c>
      <c r="N300" s="8" t="s">
        <v>472</v>
      </c>
      <c r="O300" s="8">
        <v>610</v>
      </c>
      <c r="P300" s="29" t="s">
        <v>483</v>
      </c>
      <c r="Q300" s="12" t="str">
        <f t="shared" si="56"/>
        <v>25</v>
      </c>
      <c r="R300" s="12" t="str">
        <f t="shared" si="57"/>
        <v>10</v>
      </c>
      <c r="S300" s="6" t="s">
        <v>140</v>
      </c>
      <c r="T300" s="1" t="s">
        <v>474</v>
      </c>
      <c r="U300" s="8" t="s">
        <v>475</v>
      </c>
      <c r="V300" s="1" t="s">
        <v>258</v>
      </c>
      <c r="W300" s="1" t="s">
        <v>1112</v>
      </c>
      <c r="X300" s="5">
        <v>46213</v>
      </c>
      <c r="Y300" s="1">
        <f t="shared" si="58"/>
        <v>189</v>
      </c>
      <c r="Z300" s="5">
        <v>46213</v>
      </c>
      <c r="AA300" s="3"/>
      <c r="AB300" s="3"/>
      <c r="AD300" s="133" t="str">
        <f t="shared" si="39"/>
        <v>Closed In July</v>
      </c>
    </row>
    <row r="301" spans="1:30" hidden="1">
      <c r="A301" s="21">
        <v>46024</v>
      </c>
      <c r="B301" s="1">
        <v>2026</v>
      </c>
      <c r="C301" s="8" t="s">
        <v>52</v>
      </c>
      <c r="D301" s="8" t="s">
        <v>459</v>
      </c>
      <c r="E301" s="1"/>
      <c r="F301" s="1" t="s">
        <v>19</v>
      </c>
      <c r="G301" s="8" t="s">
        <v>469</v>
      </c>
      <c r="H301" s="8">
        <v>9703345015</v>
      </c>
      <c r="I301" s="17" t="s">
        <v>54</v>
      </c>
      <c r="J301" s="18" t="s">
        <v>470</v>
      </c>
      <c r="K301" s="8" t="s">
        <v>53</v>
      </c>
      <c r="L301" s="8" t="s">
        <v>35</v>
      </c>
      <c r="M301" s="2" t="s">
        <v>471</v>
      </c>
      <c r="N301" s="8" t="s">
        <v>472</v>
      </c>
      <c r="O301" s="8">
        <v>610</v>
      </c>
      <c r="P301" s="29" t="s">
        <v>484</v>
      </c>
      <c r="Q301" s="12" t="str">
        <f t="shared" si="56"/>
        <v>25</v>
      </c>
      <c r="R301" s="12" t="str">
        <f t="shared" si="57"/>
        <v>10</v>
      </c>
      <c r="S301" s="6" t="s">
        <v>140</v>
      </c>
      <c r="T301" s="1" t="s">
        <v>474</v>
      </c>
      <c r="U301" s="8" t="s">
        <v>475</v>
      </c>
      <c r="V301" s="1" t="s">
        <v>258</v>
      </c>
      <c r="W301" s="1" t="s">
        <v>1112</v>
      </c>
      <c r="X301" s="5">
        <v>46213</v>
      </c>
      <c r="Y301" s="1">
        <f t="shared" si="58"/>
        <v>189</v>
      </c>
      <c r="Z301" s="5">
        <v>46213</v>
      </c>
      <c r="AA301" s="3"/>
      <c r="AB301" s="3"/>
      <c r="AD301" s="133" t="str">
        <f t="shared" si="39"/>
        <v>Closed In July</v>
      </c>
    </row>
    <row r="302" spans="1:30" hidden="1">
      <c r="A302" s="21">
        <v>46024</v>
      </c>
      <c r="B302" s="1">
        <v>2026</v>
      </c>
      <c r="C302" s="8" t="s">
        <v>52</v>
      </c>
      <c r="D302" s="8" t="s">
        <v>459</v>
      </c>
      <c r="E302" s="1"/>
      <c r="F302" s="1" t="s">
        <v>19</v>
      </c>
      <c r="G302" s="8" t="s">
        <v>469</v>
      </c>
      <c r="H302" s="8">
        <v>9703345015</v>
      </c>
      <c r="I302" s="17" t="s">
        <v>54</v>
      </c>
      <c r="J302" s="18" t="s">
        <v>470</v>
      </c>
      <c r="K302" s="8" t="s">
        <v>53</v>
      </c>
      <c r="L302" s="8" t="s">
        <v>35</v>
      </c>
      <c r="M302" s="2" t="s">
        <v>471</v>
      </c>
      <c r="N302" s="8" t="s">
        <v>472</v>
      </c>
      <c r="O302" s="8">
        <v>610</v>
      </c>
      <c r="P302" s="29" t="s">
        <v>485</v>
      </c>
      <c r="Q302" s="12" t="str">
        <f t="shared" si="56"/>
        <v>25</v>
      </c>
      <c r="R302" s="12" t="str">
        <f t="shared" si="57"/>
        <v>10</v>
      </c>
      <c r="S302" s="6" t="s">
        <v>140</v>
      </c>
      <c r="T302" s="1" t="s">
        <v>474</v>
      </c>
      <c r="U302" s="8" t="s">
        <v>475</v>
      </c>
      <c r="V302" s="1" t="s">
        <v>258</v>
      </c>
      <c r="W302" s="1" t="s">
        <v>1112</v>
      </c>
      <c r="X302" s="5">
        <v>46213</v>
      </c>
      <c r="Y302" s="1">
        <f t="shared" si="58"/>
        <v>189</v>
      </c>
      <c r="Z302" s="5">
        <v>46213</v>
      </c>
      <c r="AA302" s="3"/>
      <c r="AB302" s="3"/>
      <c r="AD302" s="133" t="str">
        <f t="shared" si="39"/>
        <v>Closed In July</v>
      </c>
    </row>
    <row r="303" spans="1:30" hidden="1">
      <c r="A303" s="21">
        <v>46024</v>
      </c>
      <c r="B303" s="1">
        <v>2026</v>
      </c>
      <c r="C303" s="8" t="s">
        <v>52</v>
      </c>
      <c r="D303" s="8" t="s">
        <v>459</v>
      </c>
      <c r="E303" s="1"/>
      <c r="F303" s="1" t="s">
        <v>19</v>
      </c>
      <c r="G303" s="8" t="s">
        <v>469</v>
      </c>
      <c r="H303" s="8">
        <v>9703345015</v>
      </c>
      <c r="I303" s="17" t="s">
        <v>54</v>
      </c>
      <c r="J303" s="18" t="s">
        <v>470</v>
      </c>
      <c r="K303" s="8" t="s">
        <v>53</v>
      </c>
      <c r="L303" s="8" t="s">
        <v>35</v>
      </c>
      <c r="M303" s="2" t="s">
        <v>471</v>
      </c>
      <c r="N303" s="8" t="s">
        <v>472</v>
      </c>
      <c r="O303" s="8">
        <v>610</v>
      </c>
      <c r="P303" s="29" t="s">
        <v>486</v>
      </c>
      <c r="Q303" s="12" t="str">
        <f t="shared" si="56"/>
        <v>25</v>
      </c>
      <c r="R303" s="12" t="str">
        <f t="shared" si="57"/>
        <v>10</v>
      </c>
      <c r="S303" s="6" t="s">
        <v>140</v>
      </c>
      <c r="T303" s="1" t="s">
        <v>474</v>
      </c>
      <c r="U303" s="8" t="s">
        <v>475</v>
      </c>
      <c r="V303" s="1" t="s">
        <v>258</v>
      </c>
      <c r="W303" s="1" t="s">
        <v>1112</v>
      </c>
      <c r="X303" s="5">
        <v>46213</v>
      </c>
      <c r="Y303" s="1">
        <f t="shared" si="58"/>
        <v>189</v>
      </c>
      <c r="Z303" s="5">
        <v>46213</v>
      </c>
      <c r="AA303" s="3"/>
      <c r="AB303" s="3"/>
      <c r="AD303" s="133" t="str">
        <f t="shared" si="39"/>
        <v>Closed In July</v>
      </c>
    </row>
    <row r="304" spans="1:30" hidden="1">
      <c r="A304" s="21">
        <v>46024</v>
      </c>
      <c r="B304" s="1">
        <v>2026</v>
      </c>
      <c r="C304" s="8" t="s">
        <v>52</v>
      </c>
      <c r="D304" s="8" t="s">
        <v>459</v>
      </c>
      <c r="E304" s="1"/>
      <c r="F304" s="1" t="s">
        <v>19</v>
      </c>
      <c r="G304" s="8" t="s">
        <v>469</v>
      </c>
      <c r="H304" s="8">
        <v>9703345015</v>
      </c>
      <c r="I304" s="17" t="s">
        <v>54</v>
      </c>
      <c r="J304" s="18" t="s">
        <v>470</v>
      </c>
      <c r="K304" s="8" t="s">
        <v>53</v>
      </c>
      <c r="L304" s="8" t="s">
        <v>35</v>
      </c>
      <c r="M304" s="2" t="s">
        <v>471</v>
      </c>
      <c r="N304" s="8" t="s">
        <v>472</v>
      </c>
      <c r="O304" s="8">
        <v>610</v>
      </c>
      <c r="P304" s="29" t="s">
        <v>487</v>
      </c>
      <c r="Q304" s="12" t="str">
        <f t="shared" si="56"/>
        <v>25</v>
      </c>
      <c r="R304" s="12" t="str">
        <f t="shared" si="57"/>
        <v>10</v>
      </c>
      <c r="S304" s="6" t="s">
        <v>140</v>
      </c>
      <c r="T304" s="1" t="s">
        <v>474</v>
      </c>
      <c r="U304" s="8" t="s">
        <v>475</v>
      </c>
      <c r="V304" s="1" t="s">
        <v>258</v>
      </c>
      <c r="W304" s="1" t="s">
        <v>1112</v>
      </c>
      <c r="X304" s="5">
        <v>46213</v>
      </c>
      <c r="Y304" s="1">
        <f t="shared" si="58"/>
        <v>189</v>
      </c>
      <c r="Z304" s="5">
        <v>46213</v>
      </c>
      <c r="AA304" s="3"/>
      <c r="AB304" s="3"/>
      <c r="AD304" s="133" t="str">
        <f t="shared" si="39"/>
        <v>Closed In July</v>
      </c>
    </row>
    <row r="305" spans="1:30" hidden="1">
      <c r="A305" s="21">
        <v>46024</v>
      </c>
      <c r="B305" s="1">
        <v>2026</v>
      </c>
      <c r="C305" s="8" t="s">
        <v>52</v>
      </c>
      <c r="D305" s="8" t="s">
        <v>459</v>
      </c>
      <c r="E305" s="1"/>
      <c r="F305" s="1" t="s">
        <v>19</v>
      </c>
      <c r="G305" s="8" t="s">
        <v>469</v>
      </c>
      <c r="H305" s="8">
        <v>9703345015</v>
      </c>
      <c r="I305" s="17" t="s">
        <v>54</v>
      </c>
      <c r="J305" s="18" t="s">
        <v>470</v>
      </c>
      <c r="K305" s="8" t="s">
        <v>53</v>
      </c>
      <c r="L305" s="8" t="s">
        <v>35</v>
      </c>
      <c r="M305" s="2" t="s">
        <v>471</v>
      </c>
      <c r="N305" s="8" t="s">
        <v>472</v>
      </c>
      <c r="O305" s="8">
        <v>610</v>
      </c>
      <c r="P305" s="29" t="s">
        <v>488</v>
      </c>
      <c r="Q305" s="12" t="str">
        <f t="shared" si="56"/>
        <v>25</v>
      </c>
      <c r="R305" s="12" t="str">
        <f t="shared" si="57"/>
        <v>10</v>
      </c>
      <c r="S305" s="6" t="s">
        <v>140</v>
      </c>
      <c r="T305" s="1" t="s">
        <v>474</v>
      </c>
      <c r="U305" s="8" t="s">
        <v>475</v>
      </c>
      <c r="V305" s="1" t="s">
        <v>258</v>
      </c>
      <c r="W305" s="1" t="s">
        <v>1112</v>
      </c>
      <c r="X305" s="5">
        <v>46213</v>
      </c>
      <c r="Y305" s="1">
        <f t="shared" si="58"/>
        <v>189</v>
      </c>
      <c r="Z305" s="5">
        <v>46213</v>
      </c>
      <c r="AA305" s="3"/>
      <c r="AB305" s="3"/>
      <c r="AD305" s="133" t="str">
        <f t="shared" si="39"/>
        <v>Closed In July</v>
      </c>
    </row>
    <row r="306" spans="1:30" hidden="1">
      <c r="A306" s="21">
        <v>46024</v>
      </c>
      <c r="B306" s="1">
        <v>2026</v>
      </c>
      <c r="C306" s="8" t="s">
        <v>52</v>
      </c>
      <c r="D306" s="8" t="s">
        <v>459</v>
      </c>
      <c r="E306" s="1"/>
      <c r="F306" s="1" t="s">
        <v>19</v>
      </c>
      <c r="G306" s="8" t="s">
        <v>469</v>
      </c>
      <c r="H306" s="8">
        <v>9703345015</v>
      </c>
      <c r="I306" s="17" t="s">
        <v>54</v>
      </c>
      <c r="J306" s="18" t="s">
        <v>470</v>
      </c>
      <c r="K306" s="8" t="s">
        <v>53</v>
      </c>
      <c r="L306" s="8" t="s">
        <v>35</v>
      </c>
      <c r="M306" s="2" t="s">
        <v>471</v>
      </c>
      <c r="N306" s="8" t="s">
        <v>472</v>
      </c>
      <c r="O306" s="8">
        <v>610</v>
      </c>
      <c r="P306" s="29" t="s">
        <v>489</v>
      </c>
      <c r="Q306" s="12" t="str">
        <f t="shared" si="56"/>
        <v>25</v>
      </c>
      <c r="R306" s="12" t="str">
        <f t="shared" si="57"/>
        <v>10</v>
      </c>
      <c r="S306" s="6" t="s">
        <v>140</v>
      </c>
      <c r="T306" s="1" t="s">
        <v>474</v>
      </c>
      <c r="U306" s="8" t="s">
        <v>475</v>
      </c>
      <c r="V306" s="1" t="s">
        <v>258</v>
      </c>
      <c r="W306" s="1" t="s">
        <v>1112</v>
      </c>
      <c r="X306" s="5">
        <v>46213</v>
      </c>
      <c r="Y306" s="1">
        <f t="shared" si="58"/>
        <v>189</v>
      </c>
      <c r="Z306" s="5">
        <v>46213</v>
      </c>
      <c r="AA306" s="3"/>
      <c r="AB306" s="3"/>
      <c r="AD306" s="133" t="str">
        <f t="shared" si="39"/>
        <v>Closed In July</v>
      </c>
    </row>
    <row r="307" spans="1:30" hidden="1">
      <c r="A307" s="21">
        <v>46024</v>
      </c>
      <c r="B307" s="1">
        <v>2026</v>
      </c>
      <c r="C307" s="8" t="s">
        <v>52</v>
      </c>
      <c r="D307" s="8" t="s">
        <v>459</v>
      </c>
      <c r="E307" s="1"/>
      <c r="F307" s="1" t="s">
        <v>19</v>
      </c>
      <c r="G307" s="8" t="s">
        <v>469</v>
      </c>
      <c r="H307" s="8">
        <v>9703345015</v>
      </c>
      <c r="I307" s="17" t="s">
        <v>54</v>
      </c>
      <c r="J307" s="18" t="s">
        <v>470</v>
      </c>
      <c r="K307" s="8" t="s">
        <v>53</v>
      </c>
      <c r="L307" s="8" t="s">
        <v>35</v>
      </c>
      <c r="M307" s="2" t="s">
        <v>471</v>
      </c>
      <c r="N307" s="8" t="s">
        <v>472</v>
      </c>
      <c r="O307" s="8">
        <v>610</v>
      </c>
      <c r="P307" s="29" t="s">
        <v>490</v>
      </c>
      <c r="Q307" s="12" t="str">
        <f t="shared" si="56"/>
        <v>25</v>
      </c>
      <c r="R307" s="12" t="str">
        <f t="shared" si="57"/>
        <v>10</v>
      </c>
      <c r="S307" s="6" t="s">
        <v>140</v>
      </c>
      <c r="T307" s="1" t="s">
        <v>474</v>
      </c>
      <c r="U307" s="8" t="s">
        <v>475</v>
      </c>
      <c r="V307" s="1" t="s">
        <v>258</v>
      </c>
      <c r="W307" s="1" t="s">
        <v>1112</v>
      </c>
      <c r="X307" s="5">
        <v>46213</v>
      </c>
      <c r="Y307" s="1">
        <f t="shared" si="58"/>
        <v>189</v>
      </c>
      <c r="Z307" s="5">
        <v>46213</v>
      </c>
      <c r="AA307" s="3"/>
      <c r="AB307" s="3"/>
      <c r="AD307" s="133" t="str">
        <f t="shared" si="39"/>
        <v>Closed In July</v>
      </c>
    </row>
    <row r="308" spans="1:30" hidden="1">
      <c r="A308" s="21">
        <v>46024</v>
      </c>
      <c r="B308" s="1">
        <v>2026</v>
      </c>
      <c r="C308" s="8" t="s">
        <v>52</v>
      </c>
      <c r="D308" s="8" t="s">
        <v>459</v>
      </c>
      <c r="E308" s="1"/>
      <c r="F308" s="1" t="s">
        <v>19</v>
      </c>
      <c r="G308" s="8" t="s">
        <v>469</v>
      </c>
      <c r="H308" s="8">
        <v>9703345015</v>
      </c>
      <c r="I308" s="17" t="s">
        <v>54</v>
      </c>
      <c r="J308" s="18" t="s">
        <v>470</v>
      </c>
      <c r="K308" s="8" t="s">
        <v>53</v>
      </c>
      <c r="L308" s="8" t="s">
        <v>35</v>
      </c>
      <c r="M308" s="2" t="s">
        <v>471</v>
      </c>
      <c r="N308" s="8" t="s">
        <v>472</v>
      </c>
      <c r="O308" s="8">
        <v>610</v>
      </c>
      <c r="P308" s="29" t="s">
        <v>491</v>
      </c>
      <c r="Q308" s="12" t="str">
        <f t="shared" si="56"/>
        <v>25</v>
      </c>
      <c r="R308" s="12" t="str">
        <f t="shared" si="57"/>
        <v>10</v>
      </c>
      <c r="S308" s="6" t="s">
        <v>140</v>
      </c>
      <c r="T308" s="1" t="s">
        <v>474</v>
      </c>
      <c r="U308" s="8" t="s">
        <v>475</v>
      </c>
      <c r="V308" s="1" t="s">
        <v>258</v>
      </c>
      <c r="W308" s="1" t="s">
        <v>1112</v>
      </c>
      <c r="X308" s="5">
        <v>46213</v>
      </c>
      <c r="Y308" s="1">
        <f t="shared" si="58"/>
        <v>189</v>
      </c>
      <c r="Z308" s="5">
        <v>46213</v>
      </c>
      <c r="AA308" s="3"/>
      <c r="AB308" s="3"/>
      <c r="AD308" s="133" t="str">
        <f t="shared" si="39"/>
        <v>Closed In July</v>
      </c>
    </row>
    <row r="309" spans="1:30" hidden="1">
      <c r="A309" s="21">
        <v>46024</v>
      </c>
      <c r="B309" s="1">
        <v>2026</v>
      </c>
      <c r="C309" s="8" t="s">
        <v>52</v>
      </c>
      <c r="D309" s="8" t="s">
        <v>459</v>
      </c>
      <c r="E309" s="1"/>
      <c r="F309" s="1" t="s">
        <v>19</v>
      </c>
      <c r="G309" s="8" t="s">
        <v>469</v>
      </c>
      <c r="H309" s="8">
        <v>9703345015</v>
      </c>
      <c r="I309" s="17" t="s">
        <v>54</v>
      </c>
      <c r="J309" s="18" t="s">
        <v>470</v>
      </c>
      <c r="K309" s="8" t="s">
        <v>53</v>
      </c>
      <c r="L309" s="8" t="s">
        <v>35</v>
      </c>
      <c r="M309" s="2" t="s">
        <v>471</v>
      </c>
      <c r="N309" s="8" t="s">
        <v>472</v>
      </c>
      <c r="O309" s="8">
        <v>610</v>
      </c>
      <c r="P309" s="29" t="s">
        <v>492</v>
      </c>
      <c r="Q309" s="12" t="str">
        <f t="shared" si="56"/>
        <v>25</v>
      </c>
      <c r="R309" s="12" t="str">
        <f t="shared" si="57"/>
        <v>10</v>
      </c>
      <c r="S309" s="6" t="s">
        <v>140</v>
      </c>
      <c r="T309" s="1" t="s">
        <v>474</v>
      </c>
      <c r="U309" s="8" t="s">
        <v>475</v>
      </c>
      <c r="V309" s="1" t="s">
        <v>258</v>
      </c>
      <c r="W309" s="1" t="s">
        <v>1112</v>
      </c>
      <c r="X309" s="5">
        <v>46213</v>
      </c>
      <c r="Y309" s="1">
        <f t="shared" si="58"/>
        <v>189</v>
      </c>
      <c r="Z309" s="5">
        <v>46213</v>
      </c>
      <c r="AA309" s="3"/>
      <c r="AB309" s="3"/>
      <c r="AD309" s="133" t="str">
        <f t="shared" si="39"/>
        <v>Closed In July</v>
      </c>
    </row>
    <row r="310" spans="1:30" hidden="1">
      <c r="A310" s="21">
        <v>46024</v>
      </c>
      <c r="B310" s="1">
        <v>2026</v>
      </c>
      <c r="C310" s="8" t="s">
        <v>52</v>
      </c>
      <c r="D310" s="8" t="s">
        <v>459</v>
      </c>
      <c r="E310" s="1"/>
      <c r="F310" s="1" t="s">
        <v>19</v>
      </c>
      <c r="G310" s="8" t="s">
        <v>469</v>
      </c>
      <c r="H310" s="8">
        <v>9703345015</v>
      </c>
      <c r="I310" s="17" t="s">
        <v>54</v>
      </c>
      <c r="J310" s="18" t="s">
        <v>470</v>
      </c>
      <c r="K310" s="8" t="s">
        <v>53</v>
      </c>
      <c r="L310" s="8" t="s">
        <v>35</v>
      </c>
      <c r="M310" s="2" t="s">
        <v>471</v>
      </c>
      <c r="N310" s="8" t="s">
        <v>472</v>
      </c>
      <c r="O310" s="8">
        <v>610</v>
      </c>
      <c r="P310" s="29" t="s">
        <v>493</v>
      </c>
      <c r="Q310" s="12" t="str">
        <f t="shared" si="56"/>
        <v>25</v>
      </c>
      <c r="R310" s="12" t="str">
        <f t="shared" si="57"/>
        <v>10</v>
      </c>
      <c r="S310" s="6" t="s">
        <v>140</v>
      </c>
      <c r="T310" s="1" t="s">
        <v>474</v>
      </c>
      <c r="U310" s="8" t="s">
        <v>475</v>
      </c>
      <c r="V310" s="1" t="s">
        <v>258</v>
      </c>
      <c r="W310" s="1" t="s">
        <v>1112</v>
      </c>
      <c r="X310" s="5">
        <v>46213</v>
      </c>
      <c r="Y310" s="1">
        <f t="shared" si="58"/>
        <v>189</v>
      </c>
      <c r="Z310" s="5">
        <v>46213</v>
      </c>
      <c r="AA310" s="3"/>
      <c r="AB310" s="3"/>
      <c r="AD310" s="133" t="str">
        <f t="shared" si="39"/>
        <v>Closed In July</v>
      </c>
    </row>
    <row r="311" spans="1:30" hidden="1">
      <c r="A311" s="21">
        <v>46024</v>
      </c>
      <c r="B311" s="1">
        <v>2026</v>
      </c>
      <c r="C311" s="8" t="s">
        <v>52</v>
      </c>
      <c r="D311" s="8" t="s">
        <v>459</v>
      </c>
      <c r="E311" s="1"/>
      <c r="F311" s="1" t="s">
        <v>19</v>
      </c>
      <c r="G311" s="8" t="s">
        <v>469</v>
      </c>
      <c r="H311" s="8">
        <v>9703345015</v>
      </c>
      <c r="I311" s="17" t="s">
        <v>54</v>
      </c>
      <c r="J311" s="18" t="s">
        <v>470</v>
      </c>
      <c r="K311" s="8" t="s">
        <v>53</v>
      </c>
      <c r="L311" s="8" t="s">
        <v>35</v>
      </c>
      <c r="M311" s="2" t="s">
        <v>471</v>
      </c>
      <c r="N311" s="8" t="s">
        <v>472</v>
      </c>
      <c r="O311" s="8">
        <v>610</v>
      </c>
      <c r="P311" s="29" t="s">
        <v>494</v>
      </c>
      <c r="Q311" s="12" t="str">
        <f t="shared" si="56"/>
        <v>25</v>
      </c>
      <c r="R311" s="12" t="str">
        <f t="shared" si="57"/>
        <v>10</v>
      </c>
      <c r="S311" s="6" t="s">
        <v>140</v>
      </c>
      <c r="T311" s="1" t="s">
        <v>474</v>
      </c>
      <c r="U311" s="8" t="s">
        <v>475</v>
      </c>
      <c r="V311" s="1" t="s">
        <v>258</v>
      </c>
      <c r="W311" s="1" t="s">
        <v>1112</v>
      </c>
      <c r="X311" s="5">
        <v>46213</v>
      </c>
      <c r="Y311" s="1">
        <f t="shared" si="58"/>
        <v>189</v>
      </c>
      <c r="Z311" s="5">
        <v>46213</v>
      </c>
      <c r="AA311" s="3"/>
      <c r="AB311" s="3"/>
      <c r="AD311" s="133" t="str">
        <f t="shared" si="39"/>
        <v>Closed In July</v>
      </c>
    </row>
    <row r="312" spans="1:30" hidden="1">
      <c r="A312" s="21">
        <v>46024</v>
      </c>
      <c r="B312" s="1">
        <v>2026</v>
      </c>
      <c r="C312" s="8" t="s">
        <v>52</v>
      </c>
      <c r="D312" s="8" t="s">
        <v>459</v>
      </c>
      <c r="E312" s="1"/>
      <c r="F312" s="1" t="s">
        <v>19</v>
      </c>
      <c r="G312" s="8" t="s">
        <v>469</v>
      </c>
      <c r="H312" s="8">
        <v>9703345015</v>
      </c>
      <c r="I312" s="17" t="s">
        <v>54</v>
      </c>
      <c r="J312" s="18" t="s">
        <v>470</v>
      </c>
      <c r="K312" s="8" t="s">
        <v>53</v>
      </c>
      <c r="L312" s="8" t="s">
        <v>35</v>
      </c>
      <c r="M312" s="2" t="s">
        <v>471</v>
      </c>
      <c r="N312" s="8" t="s">
        <v>472</v>
      </c>
      <c r="O312" s="8">
        <v>610</v>
      </c>
      <c r="P312" s="29" t="s">
        <v>495</v>
      </c>
      <c r="Q312" s="12" t="str">
        <f t="shared" si="56"/>
        <v>25</v>
      </c>
      <c r="R312" s="12" t="str">
        <f t="shared" si="57"/>
        <v>10</v>
      </c>
      <c r="S312" s="6" t="s">
        <v>140</v>
      </c>
      <c r="T312" s="1" t="s">
        <v>474</v>
      </c>
      <c r="U312" s="8" t="s">
        <v>475</v>
      </c>
      <c r="V312" s="1" t="s">
        <v>258</v>
      </c>
      <c r="W312" s="1" t="s">
        <v>1112</v>
      </c>
      <c r="X312" s="5">
        <v>46213</v>
      </c>
      <c r="Y312" s="1">
        <f t="shared" si="58"/>
        <v>189</v>
      </c>
      <c r="Z312" s="5">
        <v>46213</v>
      </c>
      <c r="AA312" s="3"/>
      <c r="AB312" s="3"/>
      <c r="AD312" s="133" t="str">
        <f t="shared" si="39"/>
        <v>Closed In July</v>
      </c>
    </row>
    <row r="313" spans="1:30" hidden="1">
      <c r="A313" s="21">
        <v>46024</v>
      </c>
      <c r="B313" s="1">
        <v>2026</v>
      </c>
      <c r="C313" s="8" t="s">
        <v>52</v>
      </c>
      <c r="D313" s="8" t="s">
        <v>459</v>
      </c>
      <c r="E313" s="1"/>
      <c r="F313" s="1" t="s">
        <v>19</v>
      </c>
      <c r="G313" s="8" t="s">
        <v>469</v>
      </c>
      <c r="H313" s="8">
        <v>9703345015</v>
      </c>
      <c r="I313" s="17" t="s">
        <v>54</v>
      </c>
      <c r="J313" s="18" t="s">
        <v>470</v>
      </c>
      <c r="K313" s="8" t="s">
        <v>53</v>
      </c>
      <c r="L313" s="8" t="s">
        <v>35</v>
      </c>
      <c r="M313" s="2" t="s">
        <v>471</v>
      </c>
      <c r="N313" s="8" t="s">
        <v>472</v>
      </c>
      <c r="O313" s="8">
        <v>610</v>
      </c>
      <c r="P313" s="29" t="s">
        <v>496</v>
      </c>
      <c r="Q313" s="12" t="str">
        <f t="shared" si="56"/>
        <v>25</v>
      </c>
      <c r="R313" s="12" t="str">
        <f t="shared" si="57"/>
        <v>10</v>
      </c>
      <c r="S313" s="6" t="s">
        <v>140</v>
      </c>
      <c r="T313" s="1" t="s">
        <v>474</v>
      </c>
      <c r="U313" s="8" t="s">
        <v>475</v>
      </c>
      <c r="V313" s="1" t="s">
        <v>258</v>
      </c>
      <c r="W313" s="1" t="s">
        <v>1112</v>
      </c>
      <c r="X313" s="5">
        <v>46213</v>
      </c>
      <c r="Y313" s="1">
        <f t="shared" si="58"/>
        <v>189</v>
      </c>
      <c r="Z313" s="5">
        <v>46213</v>
      </c>
      <c r="AA313" s="3"/>
      <c r="AB313" s="3"/>
      <c r="AD313" s="133" t="str">
        <f t="shared" si="39"/>
        <v>Closed In July</v>
      </c>
    </row>
    <row r="314" spans="1:30" hidden="1">
      <c r="A314" s="21">
        <v>46199</v>
      </c>
      <c r="B314" s="1">
        <v>2026</v>
      </c>
      <c r="C314" s="8" t="s">
        <v>43</v>
      </c>
      <c r="D314" s="8" t="s">
        <v>459</v>
      </c>
      <c r="E314" s="1"/>
      <c r="F314" s="1" t="s">
        <v>19</v>
      </c>
      <c r="G314" s="8" t="s">
        <v>497</v>
      </c>
      <c r="H314" s="8">
        <v>7719846027</v>
      </c>
      <c r="I314" s="10" t="s">
        <v>45</v>
      </c>
      <c r="J314" s="8" t="s">
        <v>498</v>
      </c>
      <c r="K314" s="8" t="s">
        <v>44</v>
      </c>
      <c r="L314" s="8" t="s">
        <v>35</v>
      </c>
      <c r="M314" s="2" t="s">
        <v>137</v>
      </c>
      <c r="N314" s="1" t="s">
        <v>138</v>
      </c>
      <c r="O314" s="11">
        <v>545</v>
      </c>
      <c r="P314" s="2" t="s">
        <v>499</v>
      </c>
      <c r="Q314" s="12" t="str">
        <f t="shared" si="56"/>
        <v>22</v>
      </c>
      <c r="R314" s="12" t="str">
        <f t="shared" si="57"/>
        <v>11</v>
      </c>
      <c r="S314" s="6" t="s">
        <v>129</v>
      </c>
      <c r="T314" s="1" t="s">
        <v>130</v>
      </c>
      <c r="U314" s="6" t="s">
        <v>142</v>
      </c>
      <c r="V314" s="6" t="s">
        <v>143</v>
      </c>
      <c r="W314" s="1" t="s">
        <v>133</v>
      </c>
      <c r="X314" s="5">
        <v>46212</v>
      </c>
      <c r="Y314" s="1">
        <f t="shared" si="58"/>
        <v>13</v>
      </c>
      <c r="Z314" s="5">
        <v>46212</v>
      </c>
      <c r="AA314" s="3"/>
      <c r="AB314" s="3"/>
      <c r="AD314" s="133" t="str">
        <f t="shared" si="39"/>
        <v>Closed In July</v>
      </c>
    </row>
    <row r="315" spans="1:30" hidden="1">
      <c r="A315" s="21">
        <v>46199</v>
      </c>
      <c r="B315" s="1">
        <v>2026</v>
      </c>
      <c r="C315" s="8" t="s">
        <v>43</v>
      </c>
      <c r="D315" s="8" t="s">
        <v>459</v>
      </c>
      <c r="E315" s="1"/>
      <c r="F315" s="1" t="s">
        <v>19</v>
      </c>
      <c r="G315" s="8" t="s">
        <v>497</v>
      </c>
      <c r="H315" s="8">
        <v>7719846027</v>
      </c>
      <c r="I315" s="10" t="s">
        <v>45</v>
      </c>
      <c r="J315" s="8" t="s">
        <v>498</v>
      </c>
      <c r="K315" s="8" t="s">
        <v>44</v>
      </c>
      <c r="L315" s="8" t="s">
        <v>35</v>
      </c>
      <c r="M315" s="2" t="s">
        <v>137</v>
      </c>
      <c r="N315" s="1" t="s">
        <v>138</v>
      </c>
      <c r="O315" s="11">
        <v>545</v>
      </c>
      <c r="P315" s="2" t="s">
        <v>500</v>
      </c>
      <c r="Q315" s="12" t="str">
        <f t="shared" si="56"/>
        <v>22</v>
      </c>
      <c r="R315" s="12" t="str">
        <f t="shared" si="57"/>
        <v>11</v>
      </c>
      <c r="S315" s="6" t="s">
        <v>129</v>
      </c>
      <c r="T315" s="1" t="s">
        <v>130</v>
      </c>
      <c r="U315" s="6" t="s">
        <v>142</v>
      </c>
      <c r="V315" s="6" t="s">
        <v>143</v>
      </c>
      <c r="W315" s="1" t="s">
        <v>133</v>
      </c>
      <c r="X315" s="5">
        <v>46212</v>
      </c>
      <c r="Y315" s="1">
        <f t="shared" ref="Y315:Y322" si="59">X315-A315</f>
        <v>13</v>
      </c>
      <c r="Z315" s="5">
        <v>46212</v>
      </c>
      <c r="AA315" s="3"/>
      <c r="AB315" s="3"/>
      <c r="AD315" s="133" t="str">
        <f t="shared" si="39"/>
        <v>Closed In July</v>
      </c>
    </row>
    <row r="316" spans="1:30" hidden="1">
      <c r="A316" s="21">
        <v>46199</v>
      </c>
      <c r="B316" s="1">
        <v>2026</v>
      </c>
      <c r="C316" s="8" t="s">
        <v>43</v>
      </c>
      <c r="D316" s="8" t="s">
        <v>459</v>
      </c>
      <c r="E316" s="1"/>
      <c r="F316" s="1" t="s">
        <v>19</v>
      </c>
      <c r="G316" s="8" t="s">
        <v>497</v>
      </c>
      <c r="H316" s="8">
        <v>7719846027</v>
      </c>
      <c r="I316" s="10" t="s">
        <v>45</v>
      </c>
      <c r="J316" s="8" t="s">
        <v>498</v>
      </c>
      <c r="K316" s="8" t="s">
        <v>44</v>
      </c>
      <c r="L316" s="8" t="s">
        <v>35</v>
      </c>
      <c r="M316" s="2" t="s">
        <v>137</v>
      </c>
      <c r="N316" s="1" t="s">
        <v>138</v>
      </c>
      <c r="O316" s="11">
        <v>545</v>
      </c>
      <c r="P316" s="2" t="s">
        <v>501</v>
      </c>
      <c r="Q316" s="12" t="str">
        <f t="shared" si="56"/>
        <v>22</v>
      </c>
      <c r="R316" s="12" t="str">
        <f t="shared" si="57"/>
        <v>11</v>
      </c>
      <c r="S316" s="6" t="s">
        <v>129</v>
      </c>
      <c r="T316" s="1" t="s">
        <v>130</v>
      </c>
      <c r="U316" s="6" t="s">
        <v>142</v>
      </c>
      <c r="V316" s="6" t="s">
        <v>143</v>
      </c>
      <c r="W316" s="1" t="s">
        <v>133</v>
      </c>
      <c r="X316" s="5">
        <v>46212</v>
      </c>
      <c r="Y316" s="1">
        <f t="shared" si="59"/>
        <v>13</v>
      </c>
      <c r="Z316" s="5">
        <v>46212</v>
      </c>
      <c r="AA316" s="3"/>
      <c r="AB316" s="3"/>
      <c r="AD316" s="133" t="str">
        <f t="shared" si="39"/>
        <v>Closed In July</v>
      </c>
    </row>
    <row r="317" spans="1:30" hidden="1">
      <c r="A317" s="21">
        <v>46199</v>
      </c>
      <c r="B317" s="1">
        <v>2026</v>
      </c>
      <c r="C317" s="8" t="s">
        <v>43</v>
      </c>
      <c r="D317" s="8" t="s">
        <v>459</v>
      </c>
      <c r="E317" s="1"/>
      <c r="F317" s="1" t="s">
        <v>19</v>
      </c>
      <c r="G317" s="8" t="s">
        <v>497</v>
      </c>
      <c r="H317" s="8">
        <v>7719846027</v>
      </c>
      <c r="I317" s="10" t="s">
        <v>45</v>
      </c>
      <c r="J317" s="8" t="s">
        <v>498</v>
      </c>
      <c r="K317" s="8" t="s">
        <v>44</v>
      </c>
      <c r="L317" s="8" t="s">
        <v>35</v>
      </c>
      <c r="M317" s="2" t="s">
        <v>137</v>
      </c>
      <c r="N317" s="1" t="s">
        <v>138</v>
      </c>
      <c r="O317" s="11">
        <v>545</v>
      </c>
      <c r="P317" s="2" t="s">
        <v>502</v>
      </c>
      <c r="Q317" s="12" t="str">
        <f t="shared" si="56"/>
        <v>22</v>
      </c>
      <c r="R317" s="12" t="str">
        <f t="shared" si="57"/>
        <v>11</v>
      </c>
      <c r="S317" s="6" t="s">
        <v>129</v>
      </c>
      <c r="T317" s="1" t="s">
        <v>130</v>
      </c>
      <c r="U317" s="6" t="s">
        <v>142</v>
      </c>
      <c r="V317" s="6" t="s">
        <v>143</v>
      </c>
      <c r="W317" s="1" t="s">
        <v>133</v>
      </c>
      <c r="X317" s="5">
        <v>46212</v>
      </c>
      <c r="Y317" s="1">
        <f t="shared" si="59"/>
        <v>13</v>
      </c>
      <c r="Z317" s="5">
        <v>46212</v>
      </c>
      <c r="AA317" s="3"/>
      <c r="AB317" s="3"/>
      <c r="AD317" s="133" t="str">
        <f t="shared" si="39"/>
        <v>Closed In July</v>
      </c>
    </row>
    <row r="318" spans="1:30" hidden="1">
      <c r="A318" s="21">
        <v>46199</v>
      </c>
      <c r="B318" s="1">
        <v>2026</v>
      </c>
      <c r="C318" s="8" t="s">
        <v>43</v>
      </c>
      <c r="D318" s="8" t="s">
        <v>459</v>
      </c>
      <c r="E318" s="1"/>
      <c r="F318" s="1" t="s">
        <v>19</v>
      </c>
      <c r="G318" s="8" t="s">
        <v>497</v>
      </c>
      <c r="H318" s="8">
        <v>7719846027</v>
      </c>
      <c r="I318" s="10" t="s">
        <v>45</v>
      </c>
      <c r="J318" s="8" t="s">
        <v>498</v>
      </c>
      <c r="K318" s="8" t="s">
        <v>44</v>
      </c>
      <c r="L318" s="8" t="s">
        <v>35</v>
      </c>
      <c r="M318" s="2" t="s">
        <v>137</v>
      </c>
      <c r="N318" s="1" t="s">
        <v>138</v>
      </c>
      <c r="O318" s="11">
        <v>545</v>
      </c>
      <c r="P318" s="2" t="s">
        <v>503</v>
      </c>
      <c r="Q318" s="12" t="str">
        <f t="shared" si="56"/>
        <v>22</v>
      </c>
      <c r="R318" s="12" t="str">
        <f t="shared" si="57"/>
        <v>11</v>
      </c>
      <c r="S318" s="6" t="s">
        <v>129</v>
      </c>
      <c r="T318" s="1" t="s">
        <v>130</v>
      </c>
      <c r="U318" s="6" t="s">
        <v>142</v>
      </c>
      <c r="V318" s="6" t="s">
        <v>143</v>
      </c>
      <c r="W318" s="1" t="s">
        <v>133</v>
      </c>
      <c r="X318" s="5">
        <v>46212</v>
      </c>
      <c r="Y318" s="1">
        <f t="shared" si="59"/>
        <v>13</v>
      </c>
      <c r="Z318" s="5">
        <v>46212</v>
      </c>
      <c r="AA318" s="3"/>
      <c r="AB318" s="3"/>
      <c r="AD318" s="133" t="str">
        <f t="shared" si="39"/>
        <v>Closed In July</v>
      </c>
    </row>
    <row r="319" spans="1:30" hidden="1">
      <c r="A319" s="21">
        <v>46199</v>
      </c>
      <c r="B319" s="1">
        <v>2026</v>
      </c>
      <c r="C319" s="8" t="s">
        <v>43</v>
      </c>
      <c r="D319" s="8" t="s">
        <v>459</v>
      </c>
      <c r="E319" s="1"/>
      <c r="F319" s="1" t="s">
        <v>19</v>
      </c>
      <c r="G319" s="8" t="s">
        <v>497</v>
      </c>
      <c r="H319" s="8">
        <v>7719846027</v>
      </c>
      <c r="I319" s="10" t="s">
        <v>45</v>
      </c>
      <c r="J319" s="8" t="s">
        <v>498</v>
      </c>
      <c r="K319" s="8" t="s">
        <v>44</v>
      </c>
      <c r="L319" s="8" t="s">
        <v>35</v>
      </c>
      <c r="M319" s="2" t="s">
        <v>137</v>
      </c>
      <c r="N319" s="1" t="s">
        <v>138</v>
      </c>
      <c r="O319" s="11">
        <v>545</v>
      </c>
      <c r="P319" s="2" t="s">
        <v>504</v>
      </c>
      <c r="Q319" s="12" t="str">
        <f t="shared" si="56"/>
        <v>22</v>
      </c>
      <c r="R319" s="12" t="str">
        <f t="shared" si="57"/>
        <v>11</v>
      </c>
      <c r="S319" s="6" t="s">
        <v>129</v>
      </c>
      <c r="T319" s="1" t="s">
        <v>130</v>
      </c>
      <c r="U319" s="6" t="s">
        <v>142</v>
      </c>
      <c r="V319" s="6" t="s">
        <v>143</v>
      </c>
      <c r="W319" s="1" t="s">
        <v>133</v>
      </c>
      <c r="X319" s="5">
        <v>46212</v>
      </c>
      <c r="Y319" s="1">
        <f t="shared" si="59"/>
        <v>13</v>
      </c>
      <c r="Z319" s="5">
        <v>46212</v>
      </c>
      <c r="AA319" s="3"/>
      <c r="AB319" s="3"/>
      <c r="AD319" s="133" t="str">
        <f t="shared" si="39"/>
        <v>Closed In July</v>
      </c>
    </row>
    <row r="320" spans="1:30" hidden="1">
      <c r="A320" s="21">
        <v>46199</v>
      </c>
      <c r="B320" s="1">
        <v>2026</v>
      </c>
      <c r="C320" s="8" t="s">
        <v>43</v>
      </c>
      <c r="D320" s="8" t="s">
        <v>459</v>
      </c>
      <c r="E320" s="1"/>
      <c r="F320" s="1" t="s">
        <v>19</v>
      </c>
      <c r="G320" s="8" t="s">
        <v>497</v>
      </c>
      <c r="H320" s="8">
        <v>7719846027</v>
      </c>
      <c r="I320" s="10" t="s">
        <v>45</v>
      </c>
      <c r="J320" s="8" t="s">
        <v>498</v>
      </c>
      <c r="K320" s="8" t="s">
        <v>44</v>
      </c>
      <c r="L320" s="8" t="s">
        <v>35</v>
      </c>
      <c r="M320" s="2" t="s">
        <v>137</v>
      </c>
      <c r="N320" s="1" t="s">
        <v>138</v>
      </c>
      <c r="O320" s="11">
        <v>545</v>
      </c>
      <c r="P320" s="2" t="s">
        <v>505</v>
      </c>
      <c r="Q320" s="12" t="str">
        <f t="shared" si="56"/>
        <v>22</v>
      </c>
      <c r="R320" s="12" t="str">
        <f t="shared" si="57"/>
        <v>11</v>
      </c>
      <c r="S320" s="6" t="s">
        <v>129</v>
      </c>
      <c r="T320" s="1" t="s">
        <v>130</v>
      </c>
      <c r="U320" s="6" t="s">
        <v>142</v>
      </c>
      <c r="V320" s="6" t="s">
        <v>143</v>
      </c>
      <c r="W320" s="1" t="s">
        <v>133</v>
      </c>
      <c r="X320" s="5">
        <v>46212</v>
      </c>
      <c r="Y320" s="1">
        <f t="shared" si="59"/>
        <v>13</v>
      </c>
      <c r="Z320" s="5">
        <v>46212</v>
      </c>
      <c r="AA320" s="3"/>
      <c r="AB320" s="3"/>
      <c r="AD320" s="133" t="str">
        <f t="shared" si="39"/>
        <v>Closed In July</v>
      </c>
    </row>
    <row r="321" spans="1:30" hidden="1">
      <c r="A321" s="21">
        <v>46212</v>
      </c>
      <c r="B321" s="1">
        <v>2026</v>
      </c>
      <c r="C321" s="8" t="s">
        <v>46</v>
      </c>
      <c r="D321" s="8" t="s">
        <v>123</v>
      </c>
      <c r="E321" s="1"/>
      <c r="F321" s="1" t="s">
        <v>19</v>
      </c>
      <c r="G321" s="8" t="s">
        <v>506</v>
      </c>
      <c r="H321" s="8">
        <v>7459871048</v>
      </c>
      <c r="I321" s="10" t="s">
        <v>50</v>
      </c>
      <c r="J321" s="8" t="s">
        <v>507</v>
      </c>
      <c r="K321" s="31" t="s">
        <v>47</v>
      </c>
      <c r="L321" s="31" t="s">
        <v>1107</v>
      </c>
      <c r="M321" s="2" t="s">
        <v>471</v>
      </c>
      <c r="N321" s="8" t="s">
        <v>1108</v>
      </c>
      <c r="O321" s="8">
        <v>545</v>
      </c>
      <c r="P321" s="2" t="s">
        <v>509</v>
      </c>
      <c r="Q321" s="12" t="str">
        <f t="shared" ref="Q321" si="60">MID(P321,5,2)</f>
        <v>25</v>
      </c>
      <c r="R321" s="12" t="str">
        <f t="shared" ref="R321" si="61">MID(P321,7,2)</f>
        <v>08</v>
      </c>
      <c r="S321" s="6" t="s">
        <v>464</v>
      </c>
      <c r="T321" s="1" t="s">
        <v>130</v>
      </c>
      <c r="U321" s="18" t="s">
        <v>510</v>
      </c>
      <c r="V321" s="6" t="s">
        <v>511</v>
      </c>
      <c r="W321" s="1" t="s">
        <v>259</v>
      </c>
      <c r="X321" s="5">
        <v>46213</v>
      </c>
      <c r="Y321" s="1">
        <f t="shared" si="59"/>
        <v>1</v>
      </c>
      <c r="Z321" s="6" t="s">
        <v>49</v>
      </c>
      <c r="AA321" s="3"/>
      <c r="AB321" s="3"/>
      <c r="AD321" s="133" t="str">
        <f t="shared" si="39"/>
        <v>Closed In July</v>
      </c>
    </row>
    <row r="322" spans="1:30" hidden="1">
      <c r="A322" s="9">
        <v>46150</v>
      </c>
      <c r="B322" s="1">
        <v>2026</v>
      </c>
      <c r="C322" s="8" t="s">
        <v>52</v>
      </c>
      <c r="D322" s="8" t="s">
        <v>459</v>
      </c>
      <c r="E322" s="1"/>
      <c r="F322" s="1" t="s">
        <v>19</v>
      </c>
      <c r="G322" s="11" t="s">
        <v>469</v>
      </c>
      <c r="H322" s="11">
        <v>9703345015</v>
      </c>
      <c r="I322" s="10" t="s">
        <v>55</v>
      </c>
      <c r="J322" s="8" t="s">
        <v>512</v>
      </c>
      <c r="K322" s="8" t="s">
        <v>44</v>
      </c>
      <c r="L322" s="11" t="s">
        <v>35</v>
      </c>
      <c r="M322" s="2" t="s">
        <v>471</v>
      </c>
      <c r="N322" s="8" t="s">
        <v>312</v>
      </c>
      <c r="O322" s="8">
        <v>540</v>
      </c>
      <c r="P322" s="2" t="s">
        <v>513</v>
      </c>
      <c r="Q322" s="12" t="str">
        <f t="shared" ref="Q322" si="62">MID(P322,5,2)</f>
        <v>25</v>
      </c>
      <c r="R322" s="12" t="str">
        <f t="shared" ref="R322" si="63">MID(P322,7,2)</f>
        <v>08</v>
      </c>
      <c r="S322" s="6" t="s">
        <v>140</v>
      </c>
      <c r="T322" s="1" t="s">
        <v>130</v>
      </c>
      <c r="U322" s="18" t="s">
        <v>514</v>
      </c>
      <c r="V322" s="6" t="s">
        <v>515</v>
      </c>
      <c r="W322" s="1" t="s">
        <v>1112</v>
      </c>
      <c r="X322" s="5">
        <v>46213</v>
      </c>
      <c r="Y322" s="1">
        <f t="shared" si="59"/>
        <v>63</v>
      </c>
      <c r="Z322" s="5">
        <v>46213</v>
      </c>
      <c r="AA322" s="3"/>
      <c r="AB322" s="3"/>
      <c r="AD322" s="133" t="str">
        <f t="shared" si="39"/>
        <v>Closed In July</v>
      </c>
    </row>
    <row r="323" spans="1:30" hidden="1">
      <c r="A323" s="9">
        <v>46134</v>
      </c>
      <c r="B323" s="1">
        <v>2026</v>
      </c>
      <c r="C323" s="8" t="s">
        <v>26</v>
      </c>
      <c r="D323" s="11" t="s">
        <v>179</v>
      </c>
      <c r="E323" s="1"/>
      <c r="F323" s="1" t="s">
        <v>19</v>
      </c>
      <c r="G323" s="8" t="s">
        <v>180</v>
      </c>
      <c r="H323" s="8">
        <v>8248438488</v>
      </c>
      <c r="I323" s="10" t="s">
        <v>30</v>
      </c>
      <c r="J323" s="8" t="s">
        <v>181</v>
      </c>
      <c r="K323" s="8" t="s">
        <v>27</v>
      </c>
      <c r="L323" s="8" t="s">
        <v>28</v>
      </c>
      <c r="M323" s="2" t="s">
        <v>146</v>
      </c>
      <c r="N323" s="6" t="s">
        <v>138</v>
      </c>
      <c r="O323" s="11">
        <v>550</v>
      </c>
      <c r="P323" s="2" t="s">
        <v>516</v>
      </c>
      <c r="Q323" s="12" t="str">
        <f t="shared" ref="Q323" si="64">MID(P323,5,2)</f>
        <v>23</v>
      </c>
      <c r="R323" s="12" t="str">
        <f t="shared" ref="R323" si="65">MID(P323,7,2)</f>
        <v>05</v>
      </c>
      <c r="S323" s="6" t="s">
        <v>129</v>
      </c>
      <c r="T323" s="1" t="s">
        <v>130</v>
      </c>
      <c r="U323" s="6" t="s">
        <v>148</v>
      </c>
      <c r="V323" s="1" t="s">
        <v>143</v>
      </c>
      <c r="W323" s="1" t="s">
        <v>133</v>
      </c>
      <c r="X323" s="5">
        <v>46214</v>
      </c>
      <c r="Y323" s="1">
        <f t="shared" ref="Y323" si="66">X323-A323</f>
        <v>80</v>
      </c>
      <c r="Z323" s="5">
        <v>46214</v>
      </c>
      <c r="AA323" s="3"/>
      <c r="AB323" s="3"/>
      <c r="AD323" s="133" t="str">
        <f t="shared" ref="AD323:AD386" si="67">IF(AND(F323="Closed",X323&gt;=DATE(2026,7,1),X323&lt;=DATE(2026,7,31)),"Closed In July","Other")</f>
        <v>Closed In July</v>
      </c>
    </row>
    <row r="324" spans="1:30" hidden="1">
      <c r="A324" s="9">
        <v>46134</v>
      </c>
      <c r="B324" s="1">
        <v>2026</v>
      </c>
      <c r="C324" s="8" t="s">
        <v>26</v>
      </c>
      <c r="D324" s="11" t="s">
        <v>179</v>
      </c>
      <c r="E324" s="1"/>
      <c r="F324" s="1" t="s">
        <v>19</v>
      </c>
      <c r="G324" s="8" t="s">
        <v>180</v>
      </c>
      <c r="H324" s="8">
        <v>8248438488</v>
      </c>
      <c r="I324" s="10" t="s">
        <v>30</v>
      </c>
      <c r="J324" s="8" t="s">
        <v>181</v>
      </c>
      <c r="K324" s="8" t="s">
        <v>27</v>
      </c>
      <c r="L324" s="8" t="s">
        <v>28</v>
      </c>
      <c r="M324" s="2" t="s">
        <v>146</v>
      </c>
      <c r="N324" s="6" t="s">
        <v>138</v>
      </c>
      <c r="O324" s="11">
        <v>550</v>
      </c>
      <c r="P324" s="2" t="s">
        <v>517</v>
      </c>
      <c r="Q324" s="12" t="str">
        <f t="shared" ref="Q324:Q352" si="68">MID(P324,5,2)</f>
        <v>23</v>
      </c>
      <c r="R324" s="12" t="str">
        <f t="shared" ref="R324:R352" si="69">MID(P324,7,2)</f>
        <v>05</v>
      </c>
      <c r="S324" s="6" t="s">
        <v>129</v>
      </c>
      <c r="T324" s="1" t="s">
        <v>130</v>
      </c>
      <c r="U324" s="6" t="s">
        <v>148</v>
      </c>
      <c r="V324" s="1" t="s">
        <v>143</v>
      </c>
      <c r="W324" s="1" t="s">
        <v>133</v>
      </c>
      <c r="X324" s="5">
        <v>46214</v>
      </c>
      <c r="Y324" s="1">
        <f t="shared" ref="Y324:Y325" si="70">X324-A324</f>
        <v>80</v>
      </c>
      <c r="Z324" s="5">
        <v>46214</v>
      </c>
      <c r="AA324" s="3"/>
      <c r="AB324" s="3"/>
      <c r="AD324" s="133" t="str">
        <f t="shared" si="67"/>
        <v>Closed In July</v>
      </c>
    </row>
    <row r="325" spans="1:30" hidden="1">
      <c r="A325" s="9">
        <v>46134</v>
      </c>
      <c r="B325" s="1">
        <v>2026</v>
      </c>
      <c r="C325" s="8" t="s">
        <v>26</v>
      </c>
      <c r="D325" s="11" t="s">
        <v>179</v>
      </c>
      <c r="E325" s="1"/>
      <c r="F325" s="1" t="s">
        <v>19</v>
      </c>
      <c r="G325" s="8" t="s">
        <v>180</v>
      </c>
      <c r="H325" s="8">
        <v>8248438488</v>
      </c>
      <c r="I325" s="10" t="s">
        <v>30</v>
      </c>
      <c r="J325" s="8" t="s">
        <v>181</v>
      </c>
      <c r="K325" s="8" t="s">
        <v>27</v>
      </c>
      <c r="L325" s="8" t="s">
        <v>28</v>
      </c>
      <c r="M325" s="2" t="s">
        <v>137</v>
      </c>
      <c r="N325" s="6" t="s">
        <v>138</v>
      </c>
      <c r="O325" s="11">
        <v>550</v>
      </c>
      <c r="P325" s="2" t="s">
        <v>518</v>
      </c>
      <c r="Q325" s="12" t="str">
        <f t="shared" si="68"/>
        <v>23</v>
      </c>
      <c r="R325" s="12" t="str">
        <f t="shared" si="69"/>
        <v>05</v>
      </c>
      <c r="S325" s="6" t="s">
        <v>129</v>
      </c>
      <c r="T325" s="1" t="s">
        <v>130</v>
      </c>
      <c r="U325" s="6" t="s">
        <v>142</v>
      </c>
      <c r="V325" s="1" t="s">
        <v>143</v>
      </c>
      <c r="W325" s="1" t="s">
        <v>133</v>
      </c>
      <c r="X325" s="5">
        <v>46214</v>
      </c>
      <c r="Y325" s="1">
        <f t="shared" si="70"/>
        <v>80</v>
      </c>
      <c r="Z325" s="5">
        <v>46214</v>
      </c>
      <c r="AA325" s="3"/>
      <c r="AB325" s="3"/>
      <c r="AD325" s="133" t="str">
        <f t="shared" si="67"/>
        <v>Closed In July</v>
      </c>
    </row>
    <row r="326" spans="1:30" hidden="1">
      <c r="A326" s="9">
        <v>46134</v>
      </c>
      <c r="B326" s="1">
        <v>2026</v>
      </c>
      <c r="C326" s="8" t="s">
        <v>26</v>
      </c>
      <c r="D326" s="11" t="s">
        <v>179</v>
      </c>
      <c r="E326" s="1"/>
      <c r="F326" s="1" t="s">
        <v>19</v>
      </c>
      <c r="G326" s="8" t="s">
        <v>180</v>
      </c>
      <c r="H326" s="8">
        <v>8248438488</v>
      </c>
      <c r="I326" s="10" t="s">
        <v>30</v>
      </c>
      <c r="J326" s="8" t="s">
        <v>181</v>
      </c>
      <c r="K326" s="8" t="s">
        <v>27</v>
      </c>
      <c r="L326" s="8" t="s">
        <v>28</v>
      </c>
      <c r="M326" s="2" t="s">
        <v>146</v>
      </c>
      <c r="N326" s="6" t="s">
        <v>138</v>
      </c>
      <c r="O326" s="11">
        <v>550</v>
      </c>
      <c r="P326" s="2" t="s">
        <v>519</v>
      </c>
      <c r="Q326" s="12" t="str">
        <f t="shared" si="68"/>
        <v>23</v>
      </c>
      <c r="R326" s="12" t="str">
        <f t="shared" si="69"/>
        <v>05</v>
      </c>
      <c r="S326" s="6" t="s">
        <v>129</v>
      </c>
      <c r="T326" s="1" t="s">
        <v>130</v>
      </c>
      <c r="U326" s="6" t="s">
        <v>148</v>
      </c>
      <c r="V326" s="1" t="s">
        <v>143</v>
      </c>
      <c r="W326" s="1" t="s">
        <v>133</v>
      </c>
      <c r="X326" s="5">
        <v>46214</v>
      </c>
      <c r="Y326" s="1">
        <f t="shared" ref="Y326:Y346" si="71">X326-A326</f>
        <v>80</v>
      </c>
      <c r="Z326" s="5">
        <v>46214</v>
      </c>
      <c r="AA326" s="3"/>
      <c r="AB326" s="3"/>
      <c r="AD326" s="133" t="str">
        <f t="shared" si="67"/>
        <v>Closed In July</v>
      </c>
    </row>
    <row r="327" spans="1:30" hidden="1">
      <c r="A327" s="9">
        <v>46134</v>
      </c>
      <c r="B327" s="1">
        <v>2026</v>
      </c>
      <c r="C327" s="8" t="s">
        <v>26</v>
      </c>
      <c r="D327" s="11" t="s">
        <v>179</v>
      </c>
      <c r="E327" s="1"/>
      <c r="F327" s="1" t="s">
        <v>19</v>
      </c>
      <c r="G327" s="8" t="s">
        <v>180</v>
      </c>
      <c r="H327" s="8">
        <v>8248438488</v>
      </c>
      <c r="I327" s="10" t="s">
        <v>30</v>
      </c>
      <c r="J327" s="8" t="s">
        <v>181</v>
      </c>
      <c r="K327" s="8" t="s">
        <v>27</v>
      </c>
      <c r="L327" s="8" t="s">
        <v>28</v>
      </c>
      <c r="M327" s="2" t="s">
        <v>146</v>
      </c>
      <c r="N327" s="6" t="s">
        <v>138</v>
      </c>
      <c r="O327" s="11">
        <v>550</v>
      </c>
      <c r="P327" s="2" t="s">
        <v>520</v>
      </c>
      <c r="Q327" s="12" t="str">
        <f t="shared" si="68"/>
        <v>23</v>
      </c>
      <c r="R327" s="12" t="str">
        <f t="shared" si="69"/>
        <v>06</v>
      </c>
      <c r="S327" s="6" t="s">
        <v>129</v>
      </c>
      <c r="T327" s="1" t="s">
        <v>130</v>
      </c>
      <c r="U327" s="6" t="s">
        <v>148</v>
      </c>
      <c r="V327" s="1" t="s">
        <v>143</v>
      </c>
      <c r="W327" s="1" t="s">
        <v>133</v>
      </c>
      <c r="X327" s="5">
        <v>46214</v>
      </c>
      <c r="Y327" s="1">
        <f t="shared" si="71"/>
        <v>80</v>
      </c>
      <c r="Z327" s="5">
        <v>46214</v>
      </c>
      <c r="AA327" s="3"/>
      <c r="AB327" s="3"/>
      <c r="AD327" s="133" t="str">
        <f t="shared" si="67"/>
        <v>Closed In July</v>
      </c>
    </row>
    <row r="328" spans="1:30" hidden="1">
      <c r="A328" s="9">
        <v>46134</v>
      </c>
      <c r="B328" s="1">
        <v>2026</v>
      </c>
      <c r="C328" s="8" t="s">
        <v>26</v>
      </c>
      <c r="D328" s="11" t="s">
        <v>179</v>
      </c>
      <c r="E328" s="1"/>
      <c r="F328" s="1" t="s">
        <v>19</v>
      </c>
      <c r="G328" s="8" t="s">
        <v>180</v>
      </c>
      <c r="H328" s="8">
        <v>8248438488</v>
      </c>
      <c r="I328" s="10" t="s">
        <v>30</v>
      </c>
      <c r="J328" s="8" t="s">
        <v>181</v>
      </c>
      <c r="K328" s="8" t="s">
        <v>27</v>
      </c>
      <c r="L328" s="8" t="s">
        <v>28</v>
      </c>
      <c r="M328" s="2" t="s">
        <v>146</v>
      </c>
      <c r="N328" s="6" t="s">
        <v>138</v>
      </c>
      <c r="O328" s="11">
        <v>550</v>
      </c>
      <c r="P328" s="2" t="s">
        <v>521</v>
      </c>
      <c r="Q328" s="12" t="str">
        <f t="shared" si="68"/>
        <v>23</v>
      </c>
      <c r="R328" s="12" t="str">
        <f t="shared" si="69"/>
        <v>05</v>
      </c>
      <c r="S328" s="6" t="s">
        <v>129</v>
      </c>
      <c r="T328" s="1" t="s">
        <v>130</v>
      </c>
      <c r="U328" s="6" t="s">
        <v>148</v>
      </c>
      <c r="V328" s="1" t="s">
        <v>143</v>
      </c>
      <c r="W328" s="1" t="s">
        <v>133</v>
      </c>
      <c r="X328" s="5">
        <v>46214</v>
      </c>
      <c r="Y328" s="1">
        <f t="shared" si="71"/>
        <v>80</v>
      </c>
      <c r="Z328" s="5">
        <v>46214</v>
      </c>
      <c r="AA328" s="3"/>
      <c r="AB328" s="3"/>
      <c r="AD328" s="133" t="str">
        <f t="shared" si="67"/>
        <v>Closed In July</v>
      </c>
    </row>
    <row r="329" spans="1:30" hidden="1">
      <c r="A329" s="9">
        <v>46134</v>
      </c>
      <c r="B329" s="1">
        <v>2026</v>
      </c>
      <c r="C329" s="8" t="s">
        <v>26</v>
      </c>
      <c r="D329" s="11" t="s">
        <v>179</v>
      </c>
      <c r="E329" s="1"/>
      <c r="F329" s="1" t="s">
        <v>19</v>
      </c>
      <c r="G329" s="8" t="s">
        <v>180</v>
      </c>
      <c r="H329" s="8">
        <v>8248438488</v>
      </c>
      <c r="I329" s="10" t="s">
        <v>30</v>
      </c>
      <c r="J329" s="8" t="s">
        <v>181</v>
      </c>
      <c r="K329" s="8" t="s">
        <v>27</v>
      </c>
      <c r="L329" s="8" t="s">
        <v>28</v>
      </c>
      <c r="M329" s="2" t="s">
        <v>146</v>
      </c>
      <c r="N329" s="6" t="s">
        <v>138</v>
      </c>
      <c r="O329" s="11">
        <v>550</v>
      </c>
      <c r="P329" s="2" t="s">
        <v>522</v>
      </c>
      <c r="Q329" s="12" t="str">
        <f t="shared" si="68"/>
        <v>23</v>
      </c>
      <c r="R329" s="12" t="str">
        <f t="shared" si="69"/>
        <v>05</v>
      </c>
      <c r="S329" s="6" t="s">
        <v>129</v>
      </c>
      <c r="T329" s="1" t="s">
        <v>130</v>
      </c>
      <c r="U329" s="6" t="s">
        <v>148</v>
      </c>
      <c r="V329" s="1" t="s">
        <v>143</v>
      </c>
      <c r="W329" s="1" t="s">
        <v>133</v>
      </c>
      <c r="X329" s="5">
        <v>46214</v>
      </c>
      <c r="Y329" s="1">
        <f t="shared" si="71"/>
        <v>80</v>
      </c>
      <c r="Z329" s="5">
        <v>46214</v>
      </c>
      <c r="AA329" s="3"/>
      <c r="AB329" s="3"/>
      <c r="AD329" s="133" t="str">
        <f t="shared" si="67"/>
        <v>Closed In July</v>
      </c>
    </row>
    <row r="330" spans="1:30" hidden="1">
      <c r="A330" s="9">
        <v>46134</v>
      </c>
      <c r="B330" s="1">
        <v>2026</v>
      </c>
      <c r="C330" s="8" t="s">
        <v>26</v>
      </c>
      <c r="D330" s="11" t="s">
        <v>179</v>
      </c>
      <c r="E330" s="1"/>
      <c r="F330" s="1" t="s">
        <v>19</v>
      </c>
      <c r="G330" s="8" t="s">
        <v>180</v>
      </c>
      <c r="H330" s="8">
        <v>8248438488</v>
      </c>
      <c r="I330" s="10" t="s">
        <v>30</v>
      </c>
      <c r="J330" s="8" t="s">
        <v>181</v>
      </c>
      <c r="K330" s="8" t="s">
        <v>27</v>
      </c>
      <c r="L330" s="8" t="s">
        <v>28</v>
      </c>
      <c r="M330" s="2" t="s">
        <v>146</v>
      </c>
      <c r="N330" s="6" t="s">
        <v>138</v>
      </c>
      <c r="O330" s="11">
        <v>550</v>
      </c>
      <c r="P330" s="2" t="s">
        <v>523</v>
      </c>
      <c r="Q330" s="12" t="str">
        <f t="shared" si="68"/>
        <v>23</v>
      </c>
      <c r="R330" s="12" t="str">
        <f t="shared" si="69"/>
        <v>05</v>
      </c>
      <c r="S330" s="6" t="s">
        <v>129</v>
      </c>
      <c r="T330" s="1" t="s">
        <v>130</v>
      </c>
      <c r="U330" s="6" t="s">
        <v>148</v>
      </c>
      <c r="V330" s="1" t="s">
        <v>143</v>
      </c>
      <c r="W330" s="1" t="s">
        <v>133</v>
      </c>
      <c r="X330" s="5">
        <v>46214</v>
      </c>
      <c r="Y330" s="1">
        <f t="shared" si="71"/>
        <v>80</v>
      </c>
      <c r="Z330" s="5">
        <v>46214</v>
      </c>
      <c r="AA330" s="3"/>
      <c r="AB330" s="3"/>
      <c r="AD330" s="133" t="str">
        <f t="shared" si="67"/>
        <v>Closed In July</v>
      </c>
    </row>
    <row r="331" spans="1:30" hidden="1">
      <c r="A331" s="9">
        <v>46134</v>
      </c>
      <c r="B331" s="1">
        <v>2026</v>
      </c>
      <c r="C331" s="8" t="s">
        <v>26</v>
      </c>
      <c r="D331" s="11" t="s">
        <v>179</v>
      </c>
      <c r="E331" s="1"/>
      <c r="F331" s="1" t="s">
        <v>19</v>
      </c>
      <c r="G331" s="8" t="s">
        <v>180</v>
      </c>
      <c r="H331" s="8">
        <v>8248438488</v>
      </c>
      <c r="I331" s="10" t="s">
        <v>30</v>
      </c>
      <c r="J331" s="8" t="s">
        <v>181</v>
      </c>
      <c r="K331" s="8" t="s">
        <v>27</v>
      </c>
      <c r="L331" s="8" t="s">
        <v>28</v>
      </c>
      <c r="M331" s="2" t="s">
        <v>146</v>
      </c>
      <c r="N331" s="6" t="s">
        <v>138</v>
      </c>
      <c r="O331" s="11">
        <v>550</v>
      </c>
      <c r="P331" s="2" t="s">
        <v>524</v>
      </c>
      <c r="Q331" s="12" t="str">
        <f t="shared" si="68"/>
        <v>23</v>
      </c>
      <c r="R331" s="12" t="str">
        <f t="shared" si="69"/>
        <v>06</v>
      </c>
      <c r="S331" s="6" t="s">
        <v>129</v>
      </c>
      <c r="T331" s="1" t="s">
        <v>130</v>
      </c>
      <c r="U331" s="6" t="s">
        <v>148</v>
      </c>
      <c r="V331" s="1" t="s">
        <v>143</v>
      </c>
      <c r="W331" s="1" t="s">
        <v>133</v>
      </c>
      <c r="X331" s="5">
        <v>46214</v>
      </c>
      <c r="Y331" s="1">
        <f t="shared" si="71"/>
        <v>80</v>
      </c>
      <c r="Z331" s="5">
        <v>46214</v>
      </c>
      <c r="AA331" s="3"/>
      <c r="AB331" s="3"/>
      <c r="AD331" s="133" t="str">
        <f t="shared" si="67"/>
        <v>Closed In July</v>
      </c>
    </row>
    <row r="332" spans="1:30" hidden="1">
      <c r="A332" s="9">
        <v>46134</v>
      </c>
      <c r="B332" s="1">
        <v>2026</v>
      </c>
      <c r="C332" s="8" t="s">
        <v>26</v>
      </c>
      <c r="D332" s="11" t="s">
        <v>179</v>
      </c>
      <c r="E332" s="1"/>
      <c r="F332" s="1" t="s">
        <v>19</v>
      </c>
      <c r="G332" s="8" t="s">
        <v>180</v>
      </c>
      <c r="H332" s="8">
        <v>8248438488</v>
      </c>
      <c r="I332" s="10" t="s">
        <v>30</v>
      </c>
      <c r="J332" s="8" t="s">
        <v>181</v>
      </c>
      <c r="K332" s="8" t="s">
        <v>27</v>
      </c>
      <c r="L332" s="8" t="s">
        <v>28</v>
      </c>
      <c r="M332" s="2" t="s">
        <v>146</v>
      </c>
      <c r="N332" s="6" t="s">
        <v>138</v>
      </c>
      <c r="O332" s="11">
        <v>550</v>
      </c>
      <c r="P332" s="2" t="s">
        <v>525</v>
      </c>
      <c r="Q332" s="12" t="str">
        <f t="shared" si="68"/>
        <v>23</v>
      </c>
      <c r="R332" s="12" t="str">
        <f t="shared" si="69"/>
        <v>05</v>
      </c>
      <c r="S332" s="6" t="s">
        <v>129</v>
      </c>
      <c r="T332" s="1" t="s">
        <v>130</v>
      </c>
      <c r="U332" s="6" t="s">
        <v>148</v>
      </c>
      <c r="V332" s="1" t="s">
        <v>143</v>
      </c>
      <c r="W332" s="1" t="s">
        <v>133</v>
      </c>
      <c r="X332" s="5">
        <v>46214</v>
      </c>
      <c r="Y332" s="1">
        <f t="shared" si="71"/>
        <v>80</v>
      </c>
      <c r="Z332" s="5">
        <v>46214</v>
      </c>
      <c r="AA332" s="3"/>
      <c r="AB332" s="3"/>
      <c r="AD332" s="133" t="str">
        <f t="shared" si="67"/>
        <v>Closed In July</v>
      </c>
    </row>
    <row r="333" spans="1:30" hidden="1">
      <c r="A333" s="9">
        <v>46134</v>
      </c>
      <c r="B333" s="1">
        <v>2026</v>
      </c>
      <c r="C333" s="8" t="s">
        <v>26</v>
      </c>
      <c r="D333" s="11" t="s">
        <v>179</v>
      </c>
      <c r="E333" s="1"/>
      <c r="F333" s="1" t="s">
        <v>19</v>
      </c>
      <c r="G333" s="8" t="s">
        <v>180</v>
      </c>
      <c r="H333" s="8">
        <v>8248438488</v>
      </c>
      <c r="I333" s="10" t="s">
        <v>30</v>
      </c>
      <c r="J333" s="8" t="s">
        <v>181</v>
      </c>
      <c r="K333" s="8" t="s">
        <v>27</v>
      </c>
      <c r="L333" s="8" t="s">
        <v>28</v>
      </c>
      <c r="M333" s="2" t="s">
        <v>146</v>
      </c>
      <c r="N333" s="6" t="s">
        <v>138</v>
      </c>
      <c r="O333" s="11">
        <v>550</v>
      </c>
      <c r="P333" s="2" t="s">
        <v>526</v>
      </c>
      <c r="Q333" s="12" t="str">
        <f t="shared" si="68"/>
        <v>23</v>
      </c>
      <c r="R333" s="12" t="str">
        <f t="shared" si="69"/>
        <v>05</v>
      </c>
      <c r="S333" s="6" t="s">
        <v>129</v>
      </c>
      <c r="T333" s="1" t="s">
        <v>130</v>
      </c>
      <c r="U333" s="6" t="s">
        <v>148</v>
      </c>
      <c r="V333" s="1" t="s">
        <v>143</v>
      </c>
      <c r="W333" s="1" t="s">
        <v>133</v>
      </c>
      <c r="X333" s="5">
        <v>46214</v>
      </c>
      <c r="Y333" s="1">
        <f t="shared" si="71"/>
        <v>80</v>
      </c>
      <c r="Z333" s="5">
        <v>46214</v>
      </c>
      <c r="AA333" s="3"/>
      <c r="AB333" s="3"/>
      <c r="AD333" s="133" t="str">
        <f t="shared" si="67"/>
        <v>Closed In July</v>
      </c>
    </row>
    <row r="334" spans="1:30" hidden="1">
      <c r="A334" s="9">
        <v>46134</v>
      </c>
      <c r="B334" s="1">
        <v>2026</v>
      </c>
      <c r="C334" s="8" t="s">
        <v>26</v>
      </c>
      <c r="D334" s="11" t="s">
        <v>179</v>
      </c>
      <c r="E334" s="1"/>
      <c r="F334" s="1" t="s">
        <v>19</v>
      </c>
      <c r="G334" s="8" t="s">
        <v>180</v>
      </c>
      <c r="H334" s="8">
        <v>8248438488</v>
      </c>
      <c r="I334" s="10" t="s">
        <v>30</v>
      </c>
      <c r="J334" s="8" t="s">
        <v>181</v>
      </c>
      <c r="K334" s="8" t="s">
        <v>27</v>
      </c>
      <c r="L334" s="8" t="s">
        <v>28</v>
      </c>
      <c r="M334" s="2" t="s">
        <v>146</v>
      </c>
      <c r="N334" s="6" t="s">
        <v>138</v>
      </c>
      <c r="O334" s="11">
        <v>550</v>
      </c>
      <c r="P334" s="2" t="s">
        <v>527</v>
      </c>
      <c r="Q334" s="12" t="str">
        <f t="shared" si="68"/>
        <v>23</v>
      </c>
      <c r="R334" s="12" t="str">
        <f t="shared" si="69"/>
        <v>05</v>
      </c>
      <c r="S334" s="6" t="s">
        <v>129</v>
      </c>
      <c r="T334" s="1" t="s">
        <v>130</v>
      </c>
      <c r="U334" s="6" t="s">
        <v>148</v>
      </c>
      <c r="V334" s="1" t="s">
        <v>143</v>
      </c>
      <c r="W334" s="1" t="s">
        <v>133</v>
      </c>
      <c r="X334" s="5">
        <v>46214</v>
      </c>
      <c r="Y334" s="1">
        <f t="shared" si="71"/>
        <v>80</v>
      </c>
      <c r="Z334" s="5">
        <v>46214</v>
      </c>
      <c r="AA334" s="3"/>
      <c r="AB334" s="3"/>
      <c r="AD334" s="133" t="str">
        <f t="shared" si="67"/>
        <v>Closed In July</v>
      </c>
    </row>
    <row r="335" spans="1:30" hidden="1">
      <c r="A335" s="9">
        <v>46134</v>
      </c>
      <c r="B335" s="1">
        <v>2026</v>
      </c>
      <c r="C335" s="8" t="s">
        <v>26</v>
      </c>
      <c r="D335" s="11" t="s">
        <v>179</v>
      </c>
      <c r="E335" s="1"/>
      <c r="F335" s="1" t="s">
        <v>19</v>
      </c>
      <c r="G335" s="8" t="s">
        <v>180</v>
      </c>
      <c r="H335" s="8">
        <v>8248438488</v>
      </c>
      <c r="I335" s="10" t="s">
        <v>30</v>
      </c>
      <c r="J335" s="8" t="s">
        <v>181</v>
      </c>
      <c r="K335" s="8" t="s">
        <v>27</v>
      </c>
      <c r="L335" s="8" t="s">
        <v>28</v>
      </c>
      <c r="M335" s="2" t="s">
        <v>146</v>
      </c>
      <c r="N335" s="6" t="s">
        <v>138</v>
      </c>
      <c r="O335" s="11">
        <v>550</v>
      </c>
      <c r="P335" s="2" t="s">
        <v>528</v>
      </c>
      <c r="Q335" s="12" t="str">
        <f t="shared" si="68"/>
        <v>23</v>
      </c>
      <c r="R335" s="12" t="str">
        <f t="shared" si="69"/>
        <v>05</v>
      </c>
      <c r="S335" s="6" t="s">
        <v>129</v>
      </c>
      <c r="T335" s="1" t="s">
        <v>130</v>
      </c>
      <c r="U335" s="6" t="s">
        <v>148</v>
      </c>
      <c r="V335" s="1" t="s">
        <v>143</v>
      </c>
      <c r="W335" s="1" t="s">
        <v>133</v>
      </c>
      <c r="X335" s="5">
        <v>46214</v>
      </c>
      <c r="Y335" s="1">
        <f t="shared" si="71"/>
        <v>80</v>
      </c>
      <c r="Z335" s="5">
        <v>46214</v>
      </c>
      <c r="AA335" s="3"/>
      <c r="AB335" s="3"/>
      <c r="AD335" s="133" t="str">
        <f t="shared" si="67"/>
        <v>Closed In July</v>
      </c>
    </row>
    <row r="336" spans="1:30" hidden="1">
      <c r="A336" s="9">
        <v>46134</v>
      </c>
      <c r="B336" s="1">
        <v>2026</v>
      </c>
      <c r="C336" s="8" t="s">
        <v>26</v>
      </c>
      <c r="D336" s="11" t="s">
        <v>179</v>
      </c>
      <c r="E336" s="1"/>
      <c r="F336" s="1" t="s">
        <v>19</v>
      </c>
      <c r="G336" s="8" t="s">
        <v>180</v>
      </c>
      <c r="H336" s="8">
        <v>8248438488</v>
      </c>
      <c r="I336" s="10" t="s">
        <v>30</v>
      </c>
      <c r="J336" s="8" t="s">
        <v>181</v>
      </c>
      <c r="K336" s="8" t="s">
        <v>27</v>
      </c>
      <c r="L336" s="8" t="s">
        <v>28</v>
      </c>
      <c r="M336" s="2" t="s">
        <v>146</v>
      </c>
      <c r="N336" s="6" t="s">
        <v>138</v>
      </c>
      <c r="O336" s="11">
        <v>550</v>
      </c>
      <c r="P336" s="2" t="s">
        <v>529</v>
      </c>
      <c r="Q336" s="12" t="str">
        <f t="shared" si="68"/>
        <v>23</v>
      </c>
      <c r="R336" s="12" t="str">
        <f t="shared" si="69"/>
        <v>05</v>
      </c>
      <c r="S336" s="6" t="s">
        <v>129</v>
      </c>
      <c r="T336" s="1" t="s">
        <v>130</v>
      </c>
      <c r="U336" s="6" t="s">
        <v>148</v>
      </c>
      <c r="V336" s="1" t="s">
        <v>143</v>
      </c>
      <c r="W336" s="1" t="s">
        <v>133</v>
      </c>
      <c r="X336" s="5">
        <v>46214</v>
      </c>
      <c r="Y336" s="1">
        <f t="shared" si="71"/>
        <v>80</v>
      </c>
      <c r="Z336" s="5">
        <v>46214</v>
      </c>
      <c r="AA336" s="3"/>
      <c r="AB336" s="3"/>
      <c r="AD336" s="133" t="str">
        <f t="shared" si="67"/>
        <v>Closed In July</v>
      </c>
    </row>
    <row r="337" spans="1:30" hidden="1">
      <c r="A337" s="9">
        <v>46134</v>
      </c>
      <c r="B337" s="1">
        <v>2026</v>
      </c>
      <c r="C337" s="8" t="s">
        <v>26</v>
      </c>
      <c r="D337" s="11" t="s">
        <v>179</v>
      </c>
      <c r="E337" s="1"/>
      <c r="F337" s="1" t="s">
        <v>19</v>
      </c>
      <c r="G337" s="8" t="s">
        <v>180</v>
      </c>
      <c r="H337" s="8">
        <v>8248438488</v>
      </c>
      <c r="I337" s="10" t="s">
        <v>30</v>
      </c>
      <c r="J337" s="8" t="s">
        <v>181</v>
      </c>
      <c r="K337" s="8" t="s">
        <v>27</v>
      </c>
      <c r="L337" s="8" t="s">
        <v>28</v>
      </c>
      <c r="M337" s="2" t="s">
        <v>146</v>
      </c>
      <c r="N337" s="6" t="s">
        <v>138</v>
      </c>
      <c r="O337" s="11">
        <v>550</v>
      </c>
      <c r="P337" s="2" t="s">
        <v>530</v>
      </c>
      <c r="Q337" s="12" t="str">
        <f t="shared" si="68"/>
        <v>23</v>
      </c>
      <c r="R337" s="12" t="str">
        <f t="shared" si="69"/>
        <v>05</v>
      </c>
      <c r="S337" s="6" t="s">
        <v>129</v>
      </c>
      <c r="T337" s="1" t="s">
        <v>130</v>
      </c>
      <c r="U337" s="6" t="s">
        <v>148</v>
      </c>
      <c r="V337" s="1" t="s">
        <v>143</v>
      </c>
      <c r="W337" s="1" t="s">
        <v>133</v>
      </c>
      <c r="X337" s="5">
        <v>46214</v>
      </c>
      <c r="Y337" s="1">
        <f t="shared" si="71"/>
        <v>80</v>
      </c>
      <c r="Z337" s="5">
        <v>46214</v>
      </c>
      <c r="AA337" s="3"/>
      <c r="AB337" s="3"/>
      <c r="AD337" s="133" t="str">
        <f t="shared" si="67"/>
        <v>Closed In July</v>
      </c>
    </row>
    <row r="338" spans="1:30" hidden="1">
      <c r="A338" s="9">
        <v>46134</v>
      </c>
      <c r="B338" s="1">
        <v>2026</v>
      </c>
      <c r="C338" s="8" t="s">
        <v>26</v>
      </c>
      <c r="D338" s="11" t="s">
        <v>179</v>
      </c>
      <c r="E338" s="1"/>
      <c r="F338" s="1" t="s">
        <v>19</v>
      </c>
      <c r="G338" s="8" t="s">
        <v>180</v>
      </c>
      <c r="H338" s="8">
        <v>8248438488</v>
      </c>
      <c r="I338" s="10" t="s">
        <v>30</v>
      </c>
      <c r="J338" s="8" t="s">
        <v>181</v>
      </c>
      <c r="K338" s="8" t="s">
        <v>27</v>
      </c>
      <c r="L338" s="8" t="s">
        <v>28</v>
      </c>
      <c r="M338" s="2" t="s">
        <v>146</v>
      </c>
      <c r="N338" s="6" t="s">
        <v>138</v>
      </c>
      <c r="O338" s="11">
        <v>550</v>
      </c>
      <c r="P338" s="2" t="s">
        <v>531</v>
      </c>
      <c r="Q338" s="12" t="str">
        <f t="shared" si="68"/>
        <v>23</v>
      </c>
      <c r="R338" s="12" t="str">
        <f t="shared" si="69"/>
        <v>05</v>
      </c>
      <c r="S338" s="6" t="s">
        <v>129</v>
      </c>
      <c r="T338" s="1" t="s">
        <v>130</v>
      </c>
      <c r="U338" s="6" t="s">
        <v>148</v>
      </c>
      <c r="V338" s="1" t="s">
        <v>143</v>
      </c>
      <c r="W338" s="1" t="s">
        <v>133</v>
      </c>
      <c r="X338" s="5">
        <v>46214</v>
      </c>
      <c r="Y338" s="1">
        <f t="shared" si="71"/>
        <v>80</v>
      </c>
      <c r="Z338" s="5">
        <v>46214</v>
      </c>
      <c r="AA338" s="3"/>
      <c r="AB338" s="3"/>
      <c r="AD338" s="133" t="str">
        <f t="shared" si="67"/>
        <v>Closed In July</v>
      </c>
    </row>
    <row r="339" spans="1:30" hidden="1">
      <c r="A339" s="9">
        <v>46134</v>
      </c>
      <c r="B339" s="1">
        <v>2026</v>
      </c>
      <c r="C339" s="8" t="s">
        <v>26</v>
      </c>
      <c r="D339" s="11" t="s">
        <v>179</v>
      </c>
      <c r="E339" s="1"/>
      <c r="F339" s="1" t="s">
        <v>19</v>
      </c>
      <c r="G339" s="8" t="s">
        <v>180</v>
      </c>
      <c r="H339" s="8">
        <v>8248438488</v>
      </c>
      <c r="I339" s="10" t="s">
        <v>30</v>
      </c>
      <c r="J339" s="8" t="s">
        <v>181</v>
      </c>
      <c r="K339" s="8" t="s">
        <v>27</v>
      </c>
      <c r="L339" s="8" t="s">
        <v>28</v>
      </c>
      <c r="M339" s="2" t="s">
        <v>146</v>
      </c>
      <c r="N339" s="6" t="s">
        <v>138</v>
      </c>
      <c r="O339" s="11">
        <v>550</v>
      </c>
      <c r="P339" s="2" t="s">
        <v>532</v>
      </c>
      <c r="Q339" s="12" t="str">
        <f t="shared" si="68"/>
        <v>23</v>
      </c>
      <c r="R339" s="12" t="str">
        <f t="shared" si="69"/>
        <v>05</v>
      </c>
      <c r="S339" s="6" t="s">
        <v>129</v>
      </c>
      <c r="T339" s="1" t="s">
        <v>130</v>
      </c>
      <c r="U339" s="6" t="s">
        <v>148</v>
      </c>
      <c r="V339" s="1" t="s">
        <v>143</v>
      </c>
      <c r="W339" s="1" t="s">
        <v>133</v>
      </c>
      <c r="X339" s="5">
        <v>46214</v>
      </c>
      <c r="Y339" s="1">
        <f t="shared" si="71"/>
        <v>80</v>
      </c>
      <c r="Z339" s="5">
        <v>46214</v>
      </c>
      <c r="AA339" s="3"/>
      <c r="AB339" s="3"/>
      <c r="AD339" s="133" t="str">
        <f t="shared" si="67"/>
        <v>Closed In July</v>
      </c>
    </row>
    <row r="340" spans="1:30" hidden="1">
      <c r="A340" s="9">
        <v>46134</v>
      </c>
      <c r="B340" s="1">
        <v>2026</v>
      </c>
      <c r="C340" s="8" t="s">
        <v>26</v>
      </c>
      <c r="D340" s="11" t="s">
        <v>179</v>
      </c>
      <c r="E340" s="1"/>
      <c r="F340" s="1" t="s">
        <v>19</v>
      </c>
      <c r="G340" s="8" t="s">
        <v>180</v>
      </c>
      <c r="H340" s="8">
        <v>8248438488</v>
      </c>
      <c r="I340" s="10" t="s">
        <v>30</v>
      </c>
      <c r="J340" s="8" t="s">
        <v>181</v>
      </c>
      <c r="K340" s="8" t="s">
        <v>27</v>
      </c>
      <c r="L340" s="8" t="s">
        <v>28</v>
      </c>
      <c r="M340" s="2" t="s">
        <v>146</v>
      </c>
      <c r="N340" s="6" t="s">
        <v>138</v>
      </c>
      <c r="O340" s="11">
        <v>550</v>
      </c>
      <c r="P340" s="2" t="s">
        <v>533</v>
      </c>
      <c r="Q340" s="12" t="str">
        <f t="shared" si="68"/>
        <v>23</v>
      </c>
      <c r="R340" s="12" t="str">
        <f t="shared" si="69"/>
        <v>05</v>
      </c>
      <c r="S340" s="6" t="s">
        <v>129</v>
      </c>
      <c r="T340" s="1" t="s">
        <v>130</v>
      </c>
      <c r="U340" s="6" t="s">
        <v>148</v>
      </c>
      <c r="V340" s="1" t="s">
        <v>143</v>
      </c>
      <c r="W340" s="1" t="s">
        <v>133</v>
      </c>
      <c r="X340" s="5">
        <v>46214</v>
      </c>
      <c r="Y340" s="1">
        <f t="shared" si="71"/>
        <v>80</v>
      </c>
      <c r="Z340" s="5">
        <v>46214</v>
      </c>
      <c r="AA340" s="3"/>
      <c r="AB340" s="3"/>
      <c r="AD340" s="133" t="str">
        <f t="shared" si="67"/>
        <v>Closed In July</v>
      </c>
    </row>
    <row r="341" spans="1:30" hidden="1">
      <c r="A341" s="9">
        <v>46134</v>
      </c>
      <c r="B341" s="1">
        <v>2026</v>
      </c>
      <c r="C341" s="8" t="s">
        <v>26</v>
      </c>
      <c r="D341" s="11" t="s">
        <v>179</v>
      </c>
      <c r="E341" s="1"/>
      <c r="F341" s="1" t="s">
        <v>19</v>
      </c>
      <c r="G341" s="8" t="s">
        <v>180</v>
      </c>
      <c r="H341" s="8">
        <v>8248438488</v>
      </c>
      <c r="I341" s="10" t="s">
        <v>30</v>
      </c>
      <c r="J341" s="8" t="s">
        <v>181</v>
      </c>
      <c r="K341" s="8" t="s">
        <v>27</v>
      </c>
      <c r="L341" s="8" t="s">
        <v>28</v>
      </c>
      <c r="M341" s="2" t="s">
        <v>146</v>
      </c>
      <c r="N341" s="6" t="s">
        <v>138</v>
      </c>
      <c r="O341" s="11">
        <v>550</v>
      </c>
      <c r="P341" s="2" t="s">
        <v>534</v>
      </c>
      <c r="Q341" s="12" t="str">
        <f t="shared" si="68"/>
        <v>23</v>
      </c>
      <c r="R341" s="12" t="str">
        <f t="shared" si="69"/>
        <v>05</v>
      </c>
      <c r="S341" s="6" t="s">
        <v>129</v>
      </c>
      <c r="T341" s="1" t="s">
        <v>130</v>
      </c>
      <c r="U341" s="6" t="s">
        <v>148</v>
      </c>
      <c r="V341" s="1" t="s">
        <v>143</v>
      </c>
      <c r="W341" s="1" t="s">
        <v>133</v>
      </c>
      <c r="X341" s="5">
        <v>46214</v>
      </c>
      <c r="Y341" s="1">
        <f t="shared" si="71"/>
        <v>80</v>
      </c>
      <c r="Z341" s="5">
        <v>46214</v>
      </c>
      <c r="AA341" s="3"/>
      <c r="AB341" s="3"/>
      <c r="AD341" s="133" t="str">
        <f t="shared" si="67"/>
        <v>Closed In July</v>
      </c>
    </row>
    <row r="342" spans="1:30" hidden="1">
      <c r="A342" s="9">
        <v>46134</v>
      </c>
      <c r="B342" s="1">
        <v>2026</v>
      </c>
      <c r="C342" s="8" t="s">
        <v>26</v>
      </c>
      <c r="D342" s="11" t="s">
        <v>179</v>
      </c>
      <c r="E342" s="1"/>
      <c r="F342" s="1" t="s">
        <v>19</v>
      </c>
      <c r="G342" s="8" t="s">
        <v>180</v>
      </c>
      <c r="H342" s="8">
        <v>8248438488</v>
      </c>
      <c r="I342" s="10" t="s">
        <v>30</v>
      </c>
      <c r="J342" s="8" t="s">
        <v>181</v>
      </c>
      <c r="K342" s="8" t="s">
        <v>27</v>
      </c>
      <c r="L342" s="8" t="s">
        <v>28</v>
      </c>
      <c r="M342" s="2" t="s">
        <v>146</v>
      </c>
      <c r="N342" s="6" t="s">
        <v>138</v>
      </c>
      <c r="O342" s="11">
        <v>550</v>
      </c>
      <c r="P342" s="2" t="s">
        <v>535</v>
      </c>
      <c r="Q342" s="12" t="str">
        <f t="shared" si="68"/>
        <v>23</v>
      </c>
      <c r="R342" s="12" t="str">
        <f t="shared" si="69"/>
        <v>05</v>
      </c>
      <c r="S342" s="6" t="s">
        <v>129</v>
      </c>
      <c r="T342" s="1" t="s">
        <v>130</v>
      </c>
      <c r="U342" s="6" t="s">
        <v>148</v>
      </c>
      <c r="V342" s="1" t="s">
        <v>143</v>
      </c>
      <c r="W342" s="1" t="s">
        <v>133</v>
      </c>
      <c r="X342" s="5">
        <v>46214</v>
      </c>
      <c r="Y342" s="1">
        <f t="shared" si="71"/>
        <v>80</v>
      </c>
      <c r="Z342" s="5">
        <v>46214</v>
      </c>
      <c r="AA342" s="3"/>
      <c r="AB342" s="3"/>
      <c r="AD342" s="133" t="str">
        <f t="shared" si="67"/>
        <v>Closed In July</v>
      </c>
    </row>
    <row r="343" spans="1:30" hidden="1">
      <c r="A343" s="9">
        <v>46134</v>
      </c>
      <c r="B343" s="1">
        <v>2026</v>
      </c>
      <c r="C343" s="8" t="s">
        <v>26</v>
      </c>
      <c r="D343" s="11" t="s">
        <v>179</v>
      </c>
      <c r="E343" s="1"/>
      <c r="F343" s="1" t="s">
        <v>19</v>
      </c>
      <c r="G343" s="8" t="s">
        <v>180</v>
      </c>
      <c r="H343" s="8">
        <v>8248438488</v>
      </c>
      <c r="I343" s="10" t="s">
        <v>30</v>
      </c>
      <c r="J343" s="8" t="s">
        <v>181</v>
      </c>
      <c r="K343" s="8" t="s">
        <v>27</v>
      </c>
      <c r="L343" s="8" t="s">
        <v>28</v>
      </c>
      <c r="M343" s="2" t="s">
        <v>146</v>
      </c>
      <c r="N343" s="6" t="s">
        <v>138</v>
      </c>
      <c r="O343" s="11">
        <v>550</v>
      </c>
      <c r="P343" s="2" t="s">
        <v>536</v>
      </c>
      <c r="Q343" s="12" t="str">
        <f t="shared" si="68"/>
        <v>23</v>
      </c>
      <c r="R343" s="12" t="str">
        <f t="shared" si="69"/>
        <v>05</v>
      </c>
      <c r="S343" s="6" t="s">
        <v>129</v>
      </c>
      <c r="T343" s="1" t="s">
        <v>130</v>
      </c>
      <c r="U343" s="6" t="s">
        <v>148</v>
      </c>
      <c r="V343" s="1" t="s">
        <v>143</v>
      </c>
      <c r="W343" s="1" t="s">
        <v>133</v>
      </c>
      <c r="X343" s="5">
        <v>46214</v>
      </c>
      <c r="Y343" s="1">
        <f t="shared" si="71"/>
        <v>80</v>
      </c>
      <c r="Z343" s="5">
        <v>46214</v>
      </c>
      <c r="AA343" s="3"/>
      <c r="AB343" s="3"/>
      <c r="AD343" s="133" t="str">
        <f t="shared" si="67"/>
        <v>Closed In July</v>
      </c>
    </row>
    <row r="344" spans="1:30" hidden="1">
      <c r="A344" s="9">
        <v>46134</v>
      </c>
      <c r="B344" s="1">
        <v>2026</v>
      </c>
      <c r="C344" s="8" t="s">
        <v>26</v>
      </c>
      <c r="D344" s="11" t="s">
        <v>179</v>
      </c>
      <c r="E344" s="1"/>
      <c r="F344" s="1" t="s">
        <v>19</v>
      </c>
      <c r="G344" s="8" t="s">
        <v>180</v>
      </c>
      <c r="H344" s="8">
        <v>8248438488</v>
      </c>
      <c r="I344" s="10" t="s">
        <v>30</v>
      </c>
      <c r="J344" s="8" t="s">
        <v>181</v>
      </c>
      <c r="K344" s="8" t="s">
        <v>27</v>
      </c>
      <c r="L344" s="8" t="s">
        <v>28</v>
      </c>
      <c r="M344" s="2" t="s">
        <v>146</v>
      </c>
      <c r="N344" s="6" t="s">
        <v>138</v>
      </c>
      <c r="O344" s="11">
        <v>550</v>
      </c>
      <c r="P344" s="2" t="s">
        <v>537</v>
      </c>
      <c r="Q344" s="12" t="str">
        <f t="shared" si="68"/>
        <v>23</v>
      </c>
      <c r="R344" s="12" t="str">
        <f t="shared" si="69"/>
        <v>05</v>
      </c>
      <c r="S344" s="6" t="s">
        <v>129</v>
      </c>
      <c r="T344" s="1" t="s">
        <v>130</v>
      </c>
      <c r="U344" s="6" t="s">
        <v>148</v>
      </c>
      <c r="V344" s="1" t="s">
        <v>143</v>
      </c>
      <c r="W344" s="1" t="s">
        <v>133</v>
      </c>
      <c r="X344" s="5">
        <v>46214</v>
      </c>
      <c r="Y344" s="1">
        <f t="shared" si="71"/>
        <v>80</v>
      </c>
      <c r="Z344" s="5">
        <v>46214</v>
      </c>
      <c r="AA344" s="3"/>
      <c r="AB344" s="3"/>
      <c r="AD344" s="133" t="str">
        <f t="shared" si="67"/>
        <v>Closed In July</v>
      </c>
    </row>
    <row r="345" spans="1:30" hidden="1">
      <c r="A345" s="9">
        <v>46134</v>
      </c>
      <c r="B345" s="1">
        <v>2026</v>
      </c>
      <c r="C345" s="8" t="s">
        <v>26</v>
      </c>
      <c r="D345" s="11" t="s">
        <v>179</v>
      </c>
      <c r="E345" s="1"/>
      <c r="F345" s="1" t="s">
        <v>19</v>
      </c>
      <c r="G345" s="8" t="s">
        <v>180</v>
      </c>
      <c r="H345" s="8">
        <v>8248438488</v>
      </c>
      <c r="I345" s="10" t="s">
        <v>30</v>
      </c>
      <c r="J345" s="8" t="s">
        <v>181</v>
      </c>
      <c r="K345" s="8" t="s">
        <v>27</v>
      </c>
      <c r="L345" s="8" t="s">
        <v>28</v>
      </c>
      <c r="M345" s="2" t="s">
        <v>146</v>
      </c>
      <c r="N345" s="6" t="s">
        <v>138</v>
      </c>
      <c r="O345" s="11">
        <v>550</v>
      </c>
      <c r="P345" s="2" t="s">
        <v>538</v>
      </c>
      <c r="Q345" s="12" t="str">
        <f t="shared" si="68"/>
        <v>23</v>
      </c>
      <c r="R345" s="12" t="str">
        <f t="shared" si="69"/>
        <v>06</v>
      </c>
      <c r="S345" s="6" t="s">
        <v>129</v>
      </c>
      <c r="T345" s="1" t="s">
        <v>130</v>
      </c>
      <c r="U345" s="6" t="s">
        <v>148</v>
      </c>
      <c r="V345" s="1" t="s">
        <v>143</v>
      </c>
      <c r="W345" s="1" t="s">
        <v>133</v>
      </c>
      <c r="X345" s="5">
        <v>46214</v>
      </c>
      <c r="Y345" s="1">
        <f t="shared" si="71"/>
        <v>80</v>
      </c>
      <c r="Z345" s="5">
        <v>46214</v>
      </c>
      <c r="AA345" s="3"/>
      <c r="AB345" s="3"/>
      <c r="AD345" s="133" t="str">
        <f t="shared" si="67"/>
        <v>Closed In July</v>
      </c>
    </row>
    <row r="346" spans="1:30" hidden="1">
      <c r="A346" s="9">
        <v>46134</v>
      </c>
      <c r="B346" s="1">
        <v>2026</v>
      </c>
      <c r="C346" s="8" t="s">
        <v>26</v>
      </c>
      <c r="D346" s="11" t="s">
        <v>179</v>
      </c>
      <c r="E346" s="1"/>
      <c r="F346" s="1" t="s">
        <v>19</v>
      </c>
      <c r="G346" s="8" t="s">
        <v>180</v>
      </c>
      <c r="H346" s="8">
        <v>8248438488</v>
      </c>
      <c r="I346" s="10" t="s">
        <v>30</v>
      </c>
      <c r="J346" s="8" t="s">
        <v>181</v>
      </c>
      <c r="K346" s="8" t="s">
        <v>27</v>
      </c>
      <c r="L346" s="8" t="s">
        <v>28</v>
      </c>
      <c r="M346" s="2" t="s">
        <v>276</v>
      </c>
      <c r="N346" s="6" t="s">
        <v>277</v>
      </c>
      <c r="O346" s="11">
        <v>550</v>
      </c>
      <c r="P346" s="1" t="s">
        <v>539</v>
      </c>
      <c r="Q346" s="12" t="str">
        <f t="shared" si="68"/>
        <v>23</v>
      </c>
      <c r="R346" s="12" t="str">
        <f t="shared" si="69"/>
        <v>06</v>
      </c>
      <c r="S346" s="6" t="s">
        <v>129</v>
      </c>
      <c r="T346" s="1" t="s">
        <v>130</v>
      </c>
      <c r="U346" s="6" t="s">
        <v>279</v>
      </c>
      <c r="V346" s="1" t="s">
        <v>258</v>
      </c>
      <c r="W346" s="1" t="s">
        <v>259</v>
      </c>
      <c r="X346" s="5">
        <v>46214</v>
      </c>
      <c r="Y346" s="1">
        <f t="shared" si="71"/>
        <v>80</v>
      </c>
      <c r="Z346" s="5">
        <v>46214</v>
      </c>
      <c r="AA346" s="3"/>
      <c r="AB346" s="3"/>
      <c r="AD346" s="133" t="str">
        <f t="shared" si="67"/>
        <v>Closed In July</v>
      </c>
    </row>
    <row r="347" spans="1:30" hidden="1">
      <c r="A347" s="9">
        <v>46134</v>
      </c>
      <c r="B347" s="1">
        <v>2026</v>
      </c>
      <c r="C347" s="8" t="s">
        <v>26</v>
      </c>
      <c r="D347" s="11" t="s">
        <v>179</v>
      </c>
      <c r="E347" s="1"/>
      <c r="F347" s="1" t="s">
        <v>19</v>
      </c>
      <c r="G347" s="8" t="s">
        <v>180</v>
      </c>
      <c r="H347" s="8">
        <v>8248438488</v>
      </c>
      <c r="I347" s="10" t="s">
        <v>30</v>
      </c>
      <c r="J347" s="8" t="s">
        <v>181</v>
      </c>
      <c r="K347" s="8" t="s">
        <v>27</v>
      </c>
      <c r="L347" s="8" t="s">
        <v>28</v>
      </c>
      <c r="M347" s="2" t="s">
        <v>146</v>
      </c>
      <c r="N347" s="6" t="s">
        <v>138</v>
      </c>
      <c r="O347" s="11">
        <v>550</v>
      </c>
      <c r="P347" s="2" t="s">
        <v>540</v>
      </c>
      <c r="Q347" s="12" t="str">
        <f t="shared" si="68"/>
        <v>23</v>
      </c>
      <c r="R347" s="12" t="str">
        <f t="shared" si="69"/>
        <v>05</v>
      </c>
      <c r="S347" s="6" t="s">
        <v>129</v>
      </c>
      <c r="T347" s="1" t="s">
        <v>130</v>
      </c>
      <c r="U347" s="6" t="s">
        <v>148</v>
      </c>
      <c r="V347" s="1" t="s">
        <v>143</v>
      </c>
      <c r="W347" s="1" t="s">
        <v>133</v>
      </c>
      <c r="X347" s="5">
        <v>46214</v>
      </c>
      <c r="Y347" s="1">
        <f t="shared" ref="Y347:Y352" si="72">X347-A347</f>
        <v>80</v>
      </c>
      <c r="Z347" s="5">
        <v>46214</v>
      </c>
      <c r="AA347" s="3"/>
      <c r="AB347" s="3"/>
      <c r="AD347" s="133" t="str">
        <f t="shared" si="67"/>
        <v>Closed In July</v>
      </c>
    </row>
    <row r="348" spans="1:30" hidden="1">
      <c r="A348" s="9">
        <v>46134</v>
      </c>
      <c r="B348" s="1">
        <v>2026</v>
      </c>
      <c r="C348" s="8" t="s">
        <v>26</v>
      </c>
      <c r="D348" s="11" t="s">
        <v>179</v>
      </c>
      <c r="E348" s="1"/>
      <c r="F348" s="1" t="s">
        <v>19</v>
      </c>
      <c r="G348" s="8" t="s">
        <v>180</v>
      </c>
      <c r="H348" s="8">
        <v>8248438488</v>
      </c>
      <c r="I348" s="10" t="s">
        <v>30</v>
      </c>
      <c r="J348" s="8" t="s">
        <v>181</v>
      </c>
      <c r="K348" s="8" t="s">
        <v>27</v>
      </c>
      <c r="L348" s="8" t="s">
        <v>28</v>
      </c>
      <c r="M348" s="2" t="s">
        <v>146</v>
      </c>
      <c r="N348" s="6" t="s">
        <v>138</v>
      </c>
      <c r="O348" s="11">
        <v>550</v>
      </c>
      <c r="P348" s="2" t="s">
        <v>541</v>
      </c>
      <c r="Q348" s="12" t="str">
        <f t="shared" si="68"/>
        <v>23</v>
      </c>
      <c r="R348" s="12" t="str">
        <f t="shared" si="69"/>
        <v>05</v>
      </c>
      <c r="S348" s="6" t="s">
        <v>129</v>
      </c>
      <c r="T348" s="1" t="s">
        <v>130</v>
      </c>
      <c r="U348" s="6" t="s">
        <v>148</v>
      </c>
      <c r="V348" s="1" t="s">
        <v>143</v>
      </c>
      <c r="W348" s="1" t="s">
        <v>133</v>
      </c>
      <c r="X348" s="5">
        <v>46214</v>
      </c>
      <c r="Y348" s="1">
        <f t="shared" si="72"/>
        <v>80</v>
      </c>
      <c r="Z348" s="5">
        <v>46214</v>
      </c>
      <c r="AA348" s="3"/>
      <c r="AB348" s="3"/>
      <c r="AD348" s="133" t="str">
        <f t="shared" si="67"/>
        <v>Closed In July</v>
      </c>
    </row>
    <row r="349" spans="1:30" hidden="1">
      <c r="A349" s="9">
        <v>46134</v>
      </c>
      <c r="B349" s="1">
        <v>2026</v>
      </c>
      <c r="C349" s="8" t="s">
        <v>26</v>
      </c>
      <c r="D349" s="11" t="s">
        <v>179</v>
      </c>
      <c r="E349" s="1"/>
      <c r="F349" s="1" t="s">
        <v>19</v>
      </c>
      <c r="G349" s="8" t="s">
        <v>180</v>
      </c>
      <c r="H349" s="8">
        <v>8248438488</v>
      </c>
      <c r="I349" s="10" t="s">
        <v>30</v>
      </c>
      <c r="J349" s="8" t="s">
        <v>181</v>
      </c>
      <c r="K349" s="8" t="s">
        <v>27</v>
      </c>
      <c r="L349" s="8" t="s">
        <v>28</v>
      </c>
      <c r="M349" s="2" t="s">
        <v>146</v>
      </c>
      <c r="N349" s="6" t="s">
        <v>138</v>
      </c>
      <c r="O349" s="11">
        <v>550</v>
      </c>
      <c r="P349" s="2" t="s">
        <v>542</v>
      </c>
      <c r="Q349" s="12" t="str">
        <f t="shared" si="68"/>
        <v>23</v>
      </c>
      <c r="R349" s="12" t="str">
        <f t="shared" si="69"/>
        <v>05</v>
      </c>
      <c r="S349" s="6" t="s">
        <v>129</v>
      </c>
      <c r="T349" s="1" t="s">
        <v>130</v>
      </c>
      <c r="U349" s="6" t="s">
        <v>148</v>
      </c>
      <c r="V349" s="1" t="s">
        <v>143</v>
      </c>
      <c r="W349" s="1" t="s">
        <v>133</v>
      </c>
      <c r="X349" s="5">
        <v>46214</v>
      </c>
      <c r="Y349" s="1">
        <f t="shared" si="72"/>
        <v>80</v>
      </c>
      <c r="Z349" s="5">
        <v>46214</v>
      </c>
      <c r="AA349" s="3"/>
      <c r="AB349" s="3"/>
      <c r="AD349" s="133" t="str">
        <f t="shared" si="67"/>
        <v>Closed In July</v>
      </c>
    </row>
    <row r="350" spans="1:30" hidden="1">
      <c r="A350" s="9">
        <v>46134</v>
      </c>
      <c r="B350" s="1">
        <v>2026</v>
      </c>
      <c r="C350" s="8" t="s">
        <v>26</v>
      </c>
      <c r="D350" s="11" t="s">
        <v>179</v>
      </c>
      <c r="E350" s="1"/>
      <c r="F350" s="1" t="s">
        <v>19</v>
      </c>
      <c r="G350" s="8" t="s">
        <v>180</v>
      </c>
      <c r="H350" s="8">
        <v>8248438488</v>
      </c>
      <c r="I350" s="10" t="s">
        <v>30</v>
      </c>
      <c r="J350" s="8" t="s">
        <v>181</v>
      </c>
      <c r="K350" s="8" t="s">
        <v>27</v>
      </c>
      <c r="L350" s="8" t="s">
        <v>28</v>
      </c>
      <c r="M350" s="2" t="s">
        <v>146</v>
      </c>
      <c r="N350" s="6" t="s">
        <v>138</v>
      </c>
      <c r="O350" s="11">
        <v>550</v>
      </c>
      <c r="P350" s="2" t="s">
        <v>543</v>
      </c>
      <c r="Q350" s="12" t="str">
        <f t="shared" si="68"/>
        <v>23</v>
      </c>
      <c r="R350" s="12" t="str">
        <f t="shared" si="69"/>
        <v>05</v>
      </c>
      <c r="S350" s="6" t="s">
        <v>129</v>
      </c>
      <c r="T350" s="1" t="s">
        <v>130</v>
      </c>
      <c r="U350" s="6" t="s">
        <v>148</v>
      </c>
      <c r="V350" s="1" t="s">
        <v>143</v>
      </c>
      <c r="W350" s="1" t="s">
        <v>133</v>
      </c>
      <c r="X350" s="5">
        <v>46214</v>
      </c>
      <c r="Y350" s="1">
        <f t="shared" si="72"/>
        <v>80</v>
      </c>
      <c r="Z350" s="5">
        <v>46214</v>
      </c>
      <c r="AA350" s="3"/>
      <c r="AB350" s="3"/>
      <c r="AD350" s="133" t="str">
        <f t="shared" si="67"/>
        <v>Closed In July</v>
      </c>
    </row>
    <row r="351" spans="1:30" hidden="1">
      <c r="A351" s="9">
        <v>46134</v>
      </c>
      <c r="B351" s="1">
        <v>2026</v>
      </c>
      <c r="C351" s="8" t="s">
        <v>26</v>
      </c>
      <c r="D351" s="11" t="s">
        <v>179</v>
      </c>
      <c r="E351" s="1"/>
      <c r="F351" s="1" t="s">
        <v>19</v>
      </c>
      <c r="G351" s="8" t="s">
        <v>180</v>
      </c>
      <c r="H351" s="8">
        <v>8248438488</v>
      </c>
      <c r="I351" s="10" t="s">
        <v>30</v>
      </c>
      <c r="J351" s="8" t="s">
        <v>181</v>
      </c>
      <c r="K351" s="8" t="s">
        <v>27</v>
      </c>
      <c r="L351" s="8" t="s">
        <v>28</v>
      </c>
      <c r="M351" s="2" t="s">
        <v>146</v>
      </c>
      <c r="N351" s="6" t="s">
        <v>138</v>
      </c>
      <c r="O351" s="11">
        <v>550</v>
      </c>
      <c r="P351" s="2" t="s">
        <v>544</v>
      </c>
      <c r="Q351" s="12" t="str">
        <f t="shared" si="68"/>
        <v>23</v>
      </c>
      <c r="R351" s="12" t="str">
        <f t="shared" si="69"/>
        <v>05</v>
      </c>
      <c r="S351" s="6" t="s">
        <v>129</v>
      </c>
      <c r="T351" s="1" t="s">
        <v>130</v>
      </c>
      <c r="U351" s="6" t="s">
        <v>148</v>
      </c>
      <c r="V351" s="1" t="s">
        <v>143</v>
      </c>
      <c r="W351" s="1" t="s">
        <v>133</v>
      </c>
      <c r="X351" s="5">
        <v>46214</v>
      </c>
      <c r="Y351" s="1">
        <f t="shared" si="72"/>
        <v>80</v>
      </c>
      <c r="Z351" s="5">
        <v>46214</v>
      </c>
      <c r="AA351" s="3"/>
      <c r="AB351" s="3"/>
      <c r="AD351" s="133" t="str">
        <f t="shared" si="67"/>
        <v>Closed In July</v>
      </c>
    </row>
    <row r="352" spans="1:30" hidden="1">
      <c r="A352" s="9">
        <v>46134</v>
      </c>
      <c r="B352" s="1">
        <v>2026</v>
      </c>
      <c r="C352" s="8" t="s">
        <v>26</v>
      </c>
      <c r="D352" s="11" t="s">
        <v>179</v>
      </c>
      <c r="E352" s="1"/>
      <c r="F352" s="1" t="s">
        <v>19</v>
      </c>
      <c r="G352" s="8" t="s">
        <v>180</v>
      </c>
      <c r="H352" s="8">
        <v>8248438488</v>
      </c>
      <c r="I352" s="10" t="s">
        <v>30</v>
      </c>
      <c r="J352" s="8" t="s">
        <v>181</v>
      </c>
      <c r="K352" s="8" t="s">
        <v>27</v>
      </c>
      <c r="L352" s="8" t="s">
        <v>28</v>
      </c>
      <c r="M352" s="2" t="s">
        <v>146</v>
      </c>
      <c r="N352" s="6" t="s">
        <v>138</v>
      </c>
      <c r="O352" s="11">
        <v>550</v>
      </c>
      <c r="P352" s="2" t="s">
        <v>545</v>
      </c>
      <c r="Q352" s="12" t="str">
        <f t="shared" si="68"/>
        <v>23</v>
      </c>
      <c r="R352" s="12" t="str">
        <f t="shared" si="69"/>
        <v>06</v>
      </c>
      <c r="S352" s="6" t="s">
        <v>129</v>
      </c>
      <c r="T352" s="1" t="s">
        <v>130</v>
      </c>
      <c r="U352" s="6" t="s">
        <v>148</v>
      </c>
      <c r="V352" s="1" t="s">
        <v>143</v>
      </c>
      <c r="W352" s="1" t="s">
        <v>133</v>
      </c>
      <c r="X352" s="5">
        <v>46214</v>
      </c>
      <c r="Y352" s="1">
        <f t="shared" si="72"/>
        <v>80</v>
      </c>
      <c r="Z352" s="5">
        <v>46214</v>
      </c>
      <c r="AA352" s="3"/>
      <c r="AB352" s="3"/>
      <c r="AD352" s="133" t="str">
        <f t="shared" si="67"/>
        <v>Closed In July</v>
      </c>
    </row>
    <row r="353" spans="1:30" hidden="1">
      <c r="A353" s="21">
        <v>46205</v>
      </c>
      <c r="B353" s="1">
        <v>2026</v>
      </c>
      <c r="C353" s="8" t="s">
        <v>52</v>
      </c>
      <c r="D353" s="8" t="s">
        <v>459</v>
      </c>
      <c r="E353" s="1"/>
      <c r="F353" s="1" t="s">
        <v>19</v>
      </c>
      <c r="G353" s="11" t="s">
        <v>469</v>
      </c>
      <c r="H353" s="11">
        <v>9703345015</v>
      </c>
      <c r="I353" s="10" t="s">
        <v>56</v>
      </c>
      <c r="J353" s="8" t="s">
        <v>125</v>
      </c>
      <c r="K353" s="31" t="s">
        <v>44</v>
      </c>
      <c r="L353" s="8" t="s">
        <v>35</v>
      </c>
      <c r="M353" s="2" t="s">
        <v>546</v>
      </c>
      <c r="N353" s="6" t="s">
        <v>547</v>
      </c>
      <c r="O353" s="11">
        <v>540</v>
      </c>
      <c r="P353" s="2" t="s">
        <v>548</v>
      </c>
      <c r="Q353" s="12" t="str">
        <f t="shared" ref="Q353:Q360" si="73">MID(P353,5,2)</f>
        <v>25</v>
      </c>
      <c r="R353" s="12" t="str">
        <f t="shared" ref="R353:R360" si="74">MID(P353,7,2)</f>
        <v>01</v>
      </c>
      <c r="S353" s="6" t="s">
        <v>464</v>
      </c>
      <c r="T353" s="1" t="s">
        <v>130</v>
      </c>
      <c r="U353" s="6" t="s">
        <v>549</v>
      </c>
      <c r="V353" s="1" t="s">
        <v>258</v>
      </c>
      <c r="W353" s="1" t="s">
        <v>259</v>
      </c>
      <c r="X353" s="5">
        <v>46214</v>
      </c>
      <c r="Y353" s="1">
        <f t="shared" ref="Y353:Y360" si="75">X353-A353</f>
        <v>9</v>
      </c>
      <c r="Z353" s="5">
        <v>46214</v>
      </c>
      <c r="AA353" s="3"/>
      <c r="AB353" s="3"/>
      <c r="AD353" s="133" t="str">
        <f t="shared" si="67"/>
        <v>Closed In July</v>
      </c>
    </row>
    <row r="354" spans="1:30" hidden="1">
      <c r="A354" s="21">
        <v>46205</v>
      </c>
      <c r="B354" s="1">
        <v>2026</v>
      </c>
      <c r="C354" s="8" t="s">
        <v>52</v>
      </c>
      <c r="D354" s="8" t="s">
        <v>459</v>
      </c>
      <c r="E354" s="1"/>
      <c r="F354" s="1" t="s">
        <v>19</v>
      </c>
      <c r="G354" s="11" t="s">
        <v>469</v>
      </c>
      <c r="H354" s="11">
        <v>9703345015</v>
      </c>
      <c r="I354" s="10" t="s">
        <v>56</v>
      </c>
      <c r="J354" s="8" t="s">
        <v>125</v>
      </c>
      <c r="K354" s="31" t="s">
        <v>44</v>
      </c>
      <c r="L354" s="8" t="s">
        <v>35</v>
      </c>
      <c r="M354" s="2" t="s">
        <v>546</v>
      </c>
      <c r="N354" s="6" t="s">
        <v>547</v>
      </c>
      <c r="O354" s="11">
        <v>540</v>
      </c>
      <c r="P354" s="2" t="s">
        <v>550</v>
      </c>
      <c r="Q354" s="12" t="str">
        <f t="shared" si="73"/>
        <v>25</v>
      </c>
      <c r="R354" s="12" t="str">
        <f t="shared" si="74"/>
        <v>01</v>
      </c>
      <c r="S354" s="6" t="s">
        <v>464</v>
      </c>
      <c r="T354" s="1" t="s">
        <v>130</v>
      </c>
      <c r="U354" s="6" t="s">
        <v>549</v>
      </c>
      <c r="V354" s="1" t="s">
        <v>258</v>
      </c>
      <c r="W354" s="1" t="s">
        <v>259</v>
      </c>
      <c r="X354" s="5">
        <v>46214</v>
      </c>
      <c r="Y354" s="1">
        <f t="shared" si="75"/>
        <v>9</v>
      </c>
      <c r="Z354" s="5">
        <v>46214</v>
      </c>
      <c r="AA354" s="3"/>
      <c r="AB354" s="3"/>
      <c r="AD354" s="133" t="str">
        <f t="shared" si="67"/>
        <v>Closed In July</v>
      </c>
    </row>
    <row r="355" spans="1:30" hidden="1">
      <c r="A355" s="21">
        <v>46205</v>
      </c>
      <c r="B355" s="1">
        <v>2026</v>
      </c>
      <c r="C355" s="8" t="s">
        <v>52</v>
      </c>
      <c r="D355" s="8" t="s">
        <v>459</v>
      </c>
      <c r="E355" s="1"/>
      <c r="F355" s="1" t="s">
        <v>19</v>
      </c>
      <c r="G355" s="11" t="s">
        <v>469</v>
      </c>
      <c r="H355" s="11">
        <v>9703345015</v>
      </c>
      <c r="I355" s="10" t="s">
        <v>56</v>
      </c>
      <c r="J355" s="8" t="s">
        <v>125</v>
      </c>
      <c r="K355" s="31" t="s">
        <v>44</v>
      </c>
      <c r="L355" s="8" t="s">
        <v>35</v>
      </c>
      <c r="M355" s="2" t="s">
        <v>551</v>
      </c>
      <c r="N355" s="6" t="s">
        <v>547</v>
      </c>
      <c r="O355" s="11">
        <v>540</v>
      </c>
      <c r="P355" s="2" t="s">
        <v>552</v>
      </c>
      <c r="Q355" s="12" t="str">
        <f t="shared" si="73"/>
        <v>25</v>
      </c>
      <c r="R355" s="12" t="str">
        <f t="shared" si="74"/>
        <v>01</v>
      </c>
      <c r="S355" s="6" t="s">
        <v>464</v>
      </c>
      <c r="T355" s="1" t="s">
        <v>130</v>
      </c>
      <c r="U355" s="6" t="s">
        <v>549</v>
      </c>
      <c r="V355" s="1" t="s">
        <v>258</v>
      </c>
      <c r="W355" s="1" t="s">
        <v>259</v>
      </c>
      <c r="X355" s="5">
        <v>46214</v>
      </c>
      <c r="Y355" s="1">
        <f t="shared" si="75"/>
        <v>9</v>
      </c>
      <c r="Z355" s="5">
        <v>46214</v>
      </c>
      <c r="AA355" s="3"/>
      <c r="AB355" s="3"/>
      <c r="AD355" s="133" t="str">
        <f t="shared" si="67"/>
        <v>Closed In July</v>
      </c>
    </row>
    <row r="356" spans="1:30" hidden="1">
      <c r="A356" s="21">
        <v>46205</v>
      </c>
      <c r="B356" s="1">
        <v>2026</v>
      </c>
      <c r="C356" s="8" t="s">
        <v>52</v>
      </c>
      <c r="D356" s="8" t="s">
        <v>459</v>
      </c>
      <c r="E356" s="1"/>
      <c r="F356" s="1" t="s">
        <v>19</v>
      </c>
      <c r="G356" s="11" t="s">
        <v>469</v>
      </c>
      <c r="H356" s="11">
        <v>9703345015</v>
      </c>
      <c r="I356" s="10" t="s">
        <v>56</v>
      </c>
      <c r="J356" s="8" t="s">
        <v>125</v>
      </c>
      <c r="K356" s="31" t="s">
        <v>44</v>
      </c>
      <c r="L356" s="8" t="s">
        <v>35</v>
      </c>
      <c r="M356" s="2" t="s">
        <v>551</v>
      </c>
      <c r="N356" s="6" t="s">
        <v>547</v>
      </c>
      <c r="O356" s="11">
        <v>540</v>
      </c>
      <c r="P356" s="2" t="s">
        <v>553</v>
      </c>
      <c r="Q356" s="12" t="str">
        <f t="shared" si="73"/>
        <v>25</v>
      </c>
      <c r="R356" s="12" t="str">
        <f t="shared" si="74"/>
        <v>01</v>
      </c>
      <c r="S356" s="6" t="s">
        <v>464</v>
      </c>
      <c r="T356" s="1" t="s">
        <v>130</v>
      </c>
      <c r="U356" s="6" t="s">
        <v>549</v>
      </c>
      <c r="V356" s="1" t="s">
        <v>258</v>
      </c>
      <c r="W356" s="1" t="s">
        <v>259</v>
      </c>
      <c r="X356" s="5">
        <v>46214</v>
      </c>
      <c r="Y356" s="1">
        <f t="shared" si="75"/>
        <v>9</v>
      </c>
      <c r="Z356" s="5">
        <v>46214</v>
      </c>
      <c r="AA356" s="3"/>
      <c r="AB356" s="3"/>
      <c r="AD356" s="133" t="str">
        <f t="shared" si="67"/>
        <v>Closed In July</v>
      </c>
    </row>
    <row r="357" spans="1:30" hidden="1">
      <c r="A357" s="21">
        <v>46205</v>
      </c>
      <c r="B357" s="1">
        <v>2026</v>
      </c>
      <c r="C357" s="8" t="s">
        <v>52</v>
      </c>
      <c r="D357" s="8" t="s">
        <v>459</v>
      </c>
      <c r="E357" s="1"/>
      <c r="F357" s="1" t="s">
        <v>19</v>
      </c>
      <c r="G357" s="11" t="s">
        <v>469</v>
      </c>
      <c r="H357" s="11">
        <v>9703345015</v>
      </c>
      <c r="I357" s="10" t="s">
        <v>56</v>
      </c>
      <c r="J357" s="8" t="s">
        <v>125</v>
      </c>
      <c r="K357" s="31" t="s">
        <v>44</v>
      </c>
      <c r="L357" s="8" t="s">
        <v>35</v>
      </c>
      <c r="M357" s="2" t="s">
        <v>551</v>
      </c>
      <c r="N357" s="6" t="s">
        <v>547</v>
      </c>
      <c r="O357" s="11">
        <v>540</v>
      </c>
      <c r="P357" s="2" t="s">
        <v>554</v>
      </c>
      <c r="Q357" s="12" t="str">
        <f t="shared" si="73"/>
        <v>25</v>
      </c>
      <c r="R357" s="12" t="str">
        <f t="shared" si="74"/>
        <v>01</v>
      </c>
      <c r="S357" s="6" t="s">
        <v>464</v>
      </c>
      <c r="T357" s="1" t="s">
        <v>130</v>
      </c>
      <c r="U357" s="6" t="s">
        <v>549</v>
      </c>
      <c r="V357" s="1" t="s">
        <v>258</v>
      </c>
      <c r="W357" s="1" t="s">
        <v>259</v>
      </c>
      <c r="X357" s="5">
        <v>46214</v>
      </c>
      <c r="Y357" s="1">
        <f t="shared" si="75"/>
        <v>9</v>
      </c>
      <c r="Z357" s="5">
        <v>46214</v>
      </c>
      <c r="AA357" s="3"/>
      <c r="AB357" s="3"/>
      <c r="AD357" s="133" t="str">
        <f t="shared" si="67"/>
        <v>Closed In July</v>
      </c>
    </row>
    <row r="358" spans="1:30" hidden="1">
      <c r="A358" s="21">
        <v>46205</v>
      </c>
      <c r="B358" s="1">
        <v>2026</v>
      </c>
      <c r="C358" s="8" t="s">
        <v>52</v>
      </c>
      <c r="D358" s="8" t="s">
        <v>459</v>
      </c>
      <c r="E358" s="1"/>
      <c r="F358" s="1" t="s">
        <v>19</v>
      </c>
      <c r="G358" s="11" t="s">
        <v>469</v>
      </c>
      <c r="H358" s="11">
        <v>9703345015</v>
      </c>
      <c r="I358" s="10" t="s">
        <v>56</v>
      </c>
      <c r="J358" s="8" t="s">
        <v>125</v>
      </c>
      <c r="K358" s="31" t="s">
        <v>44</v>
      </c>
      <c r="L358" s="8" t="s">
        <v>35</v>
      </c>
      <c r="M358" s="2" t="s">
        <v>551</v>
      </c>
      <c r="N358" s="6" t="s">
        <v>547</v>
      </c>
      <c r="O358" s="11">
        <v>540</v>
      </c>
      <c r="P358" s="2" t="s">
        <v>555</v>
      </c>
      <c r="Q358" s="12" t="str">
        <f t="shared" si="73"/>
        <v>25</v>
      </c>
      <c r="R358" s="12" t="str">
        <f t="shared" si="74"/>
        <v>01</v>
      </c>
      <c r="S358" s="6" t="s">
        <v>464</v>
      </c>
      <c r="T358" s="1" t="s">
        <v>130</v>
      </c>
      <c r="U358" s="6" t="s">
        <v>549</v>
      </c>
      <c r="V358" s="1" t="s">
        <v>258</v>
      </c>
      <c r="W358" s="1" t="s">
        <v>259</v>
      </c>
      <c r="X358" s="5">
        <v>46214</v>
      </c>
      <c r="Y358" s="1">
        <f t="shared" si="75"/>
        <v>9</v>
      </c>
      <c r="Z358" s="5">
        <v>46214</v>
      </c>
      <c r="AA358" s="3"/>
      <c r="AB358" s="3"/>
      <c r="AD358" s="133" t="str">
        <f t="shared" si="67"/>
        <v>Closed In July</v>
      </c>
    </row>
    <row r="359" spans="1:30" hidden="1">
      <c r="A359" s="21">
        <v>46205</v>
      </c>
      <c r="B359" s="1">
        <v>2026</v>
      </c>
      <c r="C359" s="8" t="s">
        <v>52</v>
      </c>
      <c r="D359" s="8" t="s">
        <v>459</v>
      </c>
      <c r="E359" s="1"/>
      <c r="F359" s="1" t="s">
        <v>19</v>
      </c>
      <c r="G359" s="11" t="s">
        <v>469</v>
      </c>
      <c r="H359" s="11">
        <v>9703345015</v>
      </c>
      <c r="I359" s="10" t="s">
        <v>56</v>
      </c>
      <c r="J359" s="8" t="s">
        <v>125</v>
      </c>
      <c r="K359" s="31" t="s">
        <v>44</v>
      </c>
      <c r="L359" s="8" t="s">
        <v>35</v>
      </c>
      <c r="M359" s="2" t="s">
        <v>551</v>
      </c>
      <c r="N359" s="6" t="s">
        <v>547</v>
      </c>
      <c r="O359" s="11">
        <v>540</v>
      </c>
      <c r="P359" s="2" t="s">
        <v>556</v>
      </c>
      <c r="Q359" s="12" t="str">
        <f t="shared" si="73"/>
        <v>25</v>
      </c>
      <c r="R359" s="12" t="str">
        <f t="shared" si="74"/>
        <v>01</v>
      </c>
      <c r="S359" s="6" t="s">
        <v>464</v>
      </c>
      <c r="T359" s="1" t="s">
        <v>130</v>
      </c>
      <c r="U359" s="6" t="s">
        <v>549</v>
      </c>
      <c r="V359" s="1" t="s">
        <v>258</v>
      </c>
      <c r="W359" s="1" t="s">
        <v>259</v>
      </c>
      <c r="X359" s="5">
        <v>46214</v>
      </c>
      <c r="Y359" s="1">
        <f t="shared" si="75"/>
        <v>9</v>
      </c>
      <c r="Z359" s="5">
        <v>46214</v>
      </c>
      <c r="AA359" s="3"/>
      <c r="AB359" s="3"/>
      <c r="AD359" s="133" t="str">
        <f t="shared" si="67"/>
        <v>Closed In July</v>
      </c>
    </row>
    <row r="360" spans="1:30" hidden="1">
      <c r="A360" s="21">
        <v>46205</v>
      </c>
      <c r="B360" s="1">
        <v>2026</v>
      </c>
      <c r="C360" s="8" t="s">
        <v>52</v>
      </c>
      <c r="D360" s="8" t="s">
        <v>459</v>
      </c>
      <c r="E360" s="1"/>
      <c r="F360" s="1" t="s">
        <v>19</v>
      </c>
      <c r="G360" s="11" t="s">
        <v>469</v>
      </c>
      <c r="H360" s="11">
        <v>9703345015</v>
      </c>
      <c r="I360" s="10" t="s">
        <v>56</v>
      </c>
      <c r="J360" s="8" t="s">
        <v>125</v>
      </c>
      <c r="K360" s="31" t="s">
        <v>44</v>
      </c>
      <c r="L360" s="8" t="s">
        <v>35</v>
      </c>
      <c r="M360" s="2" t="s">
        <v>551</v>
      </c>
      <c r="N360" s="6" t="s">
        <v>547</v>
      </c>
      <c r="O360" s="11">
        <v>540</v>
      </c>
      <c r="P360" s="2" t="s">
        <v>557</v>
      </c>
      <c r="Q360" s="12" t="str">
        <f t="shared" si="73"/>
        <v>25</v>
      </c>
      <c r="R360" s="12" t="str">
        <f t="shared" si="74"/>
        <v>01</v>
      </c>
      <c r="S360" s="6" t="s">
        <v>464</v>
      </c>
      <c r="T360" s="1" t="s">
        <v>130</v>
      </c>
      <c r="U360" s="6" t="s">
        <v>549</v>
      </c>
      <c r="V360" s="1" t="s">
        <v>258</v>
      </c>
      <c r="W360" s="1" t="s">
        <v>259</v>
      </c>
      <c r="X360" s="5">
        <v>46214</v>
      </c>
      <c r="Y360" s="1">
        <f t="shared" si="75"/>
        <v>9</v>
      </c>
      <c r="Z360" s="5">
        <v>46214</v>
      </c>
      <c r="AA360" s="3"/>
      <c r="AB360" s="3"/>
      <c r="AD360" s="133" t="str">
        <f t="shared" si="67"/>
        <v>Closed In July</v>
      </c>
    </row>
    <row r="361" spans="1:30" hidden="1">
      <c r="A361" s="9">
        <v>46140</v>
      </c>
      <c r="B361" s="1">
        <v>2026</v>
      </c>
      <c r="C361" s="8" t="s">
        <v>46</v>
      </c>
      <c r="D361" s="8" t="s">
        <v>123</v>
      </c>
      <c r="E361" s="1"/>
      <c r="F361" s="1" t="s">
        <v>19</v>
      </c>
      <c r="G361" s="8" t="s">
        <v>506</v>
      </c>
      <c r="H361" s="8">
        <v>7459871048</v>
      </c>
      <c r="I361" s="10" t="s">
        <v>59</v>
      </c>
      <c r="J361" s="8" t="s">
        <v>558</v>
      </c>
      <c r="K361" s="8" t="s">
        <v>57</v>
      </c>
      <c r="L361" s="8" t="s">
        <v>58</v>
      </c>
      <c r="M361" s="2" t="s">
        <v>471</v>
      </c>
      <c r="N361" s="8" t="s">
        <v>559</v>
      </c>
      <c r="O361" s="11">
        <v>610</v>
      </c>
      <c r="P361" s="6" t="s">
        <v>560</v>
      </c>
      <c r="Q361" s="12" t="str">
        <f t="shared" ref="Q361" si="76">MID(P361,5,2)</f>
        <v>25</v>
      </c>
      <c r="R361" s="12" t="str">
        <f t="shared" ref="R361" si="77">MID(P361,7,2)</f>
        <v>06</v>
      </c>
      <c r="S361" s="6" t="s">
        <v>140</v>
      </c>
      <c r="T361" s="1" t="s">
        <v>474</v>
      </c>
      <c r="U361" s="2" t="s">
        <v>561</v>
      </c>
      <c r="V361" s="6" t="s">
        <v>515</v>
      </c>
      <c r="W361" s="1" t="s">
        <v>1112</v>
      </c>
      <c r="X361" s="5">
        <v>46216</v>
      </c>
      <c r="Y361" s="1">
        <f t="shared" ref="Y361" si="78">X361-A361</f>
        <v>76</v>
      </c>
      <c r="Z361" s="6" t="s">
        <v>49</v>
      </c>
      <c r="AA361" s="3"/>
      <c r="AB361" s="3"/>
      <c r="AD361" s="133" t="str">
        <f t="shared" si="67"/>
        <v>Closed In July</v>
      </c>
    </row>
    <row r="362" spans="1:30" hidden="1">
      <c r="A362" s="21">
        <v>46205</v>
      </c>
      <c r="B362" s="1">
        <v>2026</v>
      </c>
      <c r="C362" s="35" t="s">
        <v>46</v>
      </c>
      <c r="D362" s="8" t="s">
        <v>123</v>
      </c>
      <c r="E362" s="1"/>
      <c r="F362" s="1" t="s">
        <v>19</v>
      </c>
      <c r="G362" s="8" t="s">
        <v>506</v>
      </c>
      <c r="H362" s="8">
        <v>7459871048</v>
      </c>
      <c r="I362" s="10" t="s">
        <v>61</v>
      </c>
      <c r="J362" s="8" t="s">
        <v>562</v>
      </c>
      <c r="K362" s="33" t="s">
        <v>1109</v>
      </c>
      <c r="L362" s="31" t="s">
        <v>1107</v>
      </c>
      <c r="M362" s="2" t="s">
        <v>471</v>
      </c>
      <c r="N362" s="36" t="s">
        <v>563</v>
      </c>
      <c r="O362" s="11">
        <v>540</v>
      </c>
      <c r="P362" s="2" t="s">
        <v>564</v>
      </c>
      <c r="Q362" s="12" t="str">
        <f t="shared" ref="Q362:Q364" si="79">MID(P362,5,2)</f>
        <v>26</v>
      </c>
      <c r="R362" s="12" t="str">
        <f t="shared" ref="R362:R364" si="80">MID(P362,7,2)</f>
        <v>02</v>
      </c>
      <c r="S362" s="6" t="s">
        <v>464</v>
      </c>
      <c r="T362" s="1" t="s">
        <v>130</v>
      </c>
      <c r="U362" s="2" t="s">
        <v>565</v>
      </c>
      <c r="V362" s="6" t="s">
        <v>1110</v>
      </c>
      <c r="W362" s="1" t="s">
        <v>259</v>
      </c>
      <c r="X362" s="5">
        <v>46216</v>
      </c>
      <c r="Y362" s="1">
        <f t="shared" ref="Y362:Y364" si="81">X362-A362</f>
        <v>11</v>
      </c>
      <c r="Z362" s="6" t="s">
        <v>49</v>
      </c>
      <c r="AA362" s="3"/>
      <c r="AB362" s="3"/>
      <c r="AD362" s="133" t="str">
        <f t="shared" si="67"/>
        <v>Closed In July</v>
      </c>
    </row>
    <row r="363" spans="1:30" hidden="1">
      <c r="A363" s="21">
        <v>46205</v>
      </c>
      <c r="B363" s="1">
        <v>2026</v>
      </c>
      <c r="C363" s="35" t="s">
        <v>46</v>
      </c>
      <c r="D363" s="8" t="s">
        <v>123</v>
      </c>
      <c r="E363" s="1"/>
      <c r="F363" s="1" t="s">
        <v>19</v>
      </c>
      <c r="G363" s="8" t="s">
        <v>506</v>
      </c>
      <c r="H363" s="8">
        <v>7459871048</v>
      </c>
      <c r="I363" s="10" t="s">
        <v>61</v>
      </c>
      <c r="J363" s="8" t="s">
        <v>562</v>
      </c>
      <c r="K363" s="33" t="s">
        <v>1109</v>
      </c>
      <c r="L363" s="31" t="s">
        <v>1107</v>
      </c>
      <c r="M363" s="2" t="s">
        <v>471</v>
      </c>
      <c r="N363" s="36" t="s">
        <v>563</v>
      </c>
      <c r="O363" s="11">
        <v>540</v>
      </c>
      <c r="P363" s="2" t="s">
        <v>566</v>
      </c>
      <c r="Q363" s="12" t="str">
        <f t="shared" si="79"/>
        <v>26</v>
      </c>
      <c r="R363" s="12" t="str">
        <f t="shared" si="80"/>
        <v>02</v>
      </c>
      <c r="S363" s="6" t="s">
        <v>464</v>
      </c>
      <c r="T363" s="1" t="s">
        <v>130</v>
      </c>
      <c r="U363" s="2" t="s">
        <v>565</v>
      </c>
      <c r="V363" s="6" t="s">
        <v>1110</v>
      </c>
      <c r="W363" s="1" t="s">
        <v>259</v>
      </c>
      <c r="X363" s="5">
        <v>46216</v>
      </c>
      <c r="Y363" s="1">
        <f t="shared" si="81"/>
        <v>11</v>
      </c>
      <c r="Z363" s="6" t="s">
        <v>49</v>
      </c>
      <c r="AA363" s="3"/>
      <c r="AB363" s="3"/>
      <c r="AD363" s="133" t="str">
        <f t="shared" si="67"/>
        <v>Closed In July</v>
      </c>
    </row>
    <row r="364" spans="1:30" hidden="1">
      <c r="A364" s="9">
        <v>46134</v>
      </c>
      <c r="B364" s="1">
        <v>2026</v>
      </c>
      <c r="C364" s="8" t="s">
        <v>26</v>
      </c>
      <c r="D364" s="11" t="s">
        <v>179</v>
      </c>
      <c r="E364" s="1"/>
      <c r="F364" s="1" t="s">
        <v>19</v>
      </c>
      <c r="G364" s="8" t="s">
        <v>180</v>
      </c>
      <c r="H364" s="8">
        <v>8248438488</v>
      </c>
      <c r="I364" s="10" t="s">
        <v>30</v>
      </c>
      <c r="J364" s="8" t="s">
        <v>181</v>
      </c>
      <c r="K364" s="8" t="s">
        <v>27</v>
      </c>
      <c r="L364" s="8" t="s">
        <v>28</v>
      </c>
      <c r="M364" s="2" t="s">
        <v>146</v>
      </c>
      <c r="N364" s="6" t="s">
        <v>138</v>
      </c>
      <c r="O364" s="11">
        <v>550</v>
      </c>
      <c r="P364" s="2" t="s">
        <v>567</v>
      </c>
      <c r="Q364" s="12" t="str">
        <f t="shared" si="79"/>
        <v>23</v>
      </c>
      <c r="R364" s="12" t="str">
        <f t="shared" si="80"/>
        <v>05</v>
      </c>
      <c r="S364" s="6" t="s">
        <v>129</v>
      </c>
      <c r="T364" s="1" t="s">
        <v>130</v>
      </c>
      <c r="U364" s="6" t="s">
        <v>148</v>
      </c>
      <c r="V364" s="1" t="s">
        <v>143</v>
      </c>
      <c r="W364" s="1" t="s">
        <v>133</v>
      </c>
      <c r="X364" s="5">
        <v>46216</v>
      </c>
      <c r="Y364" s="1">
        <f t="shared" si="81"/>
        <v>82</v>
      </c>
      <c r="Z364" s="5">
        <v>46216</v>
      </c>
      <c r="AA364" s="3"/>
      <c r="AB364" s="3"/>
      <c r="AD364" s="133" t="str">
        <f t="shared" si="67"/>
        <v>Closed In July</v>
      </c>
    </row>
    <row r="365" spans="1:30" hidden="1">
      <c r="A365" s="9">
        <v>46134</v>
      </c>
      <c r="B365" s="1">
        <v>2026</v>
      </c>
      <c r="C365" s="8" t="s">
        <v>26</v>
      </c>
      <c r="D365" s="11" t="s">
        <v>179</v>
      </c>
      <c r="E365" s="1"/>
      <c r="F365" s="1" t="s">
        <v>19</v>
      </c>
      <c r="G365" s="8" t="s">
        <v>180</v>
      </c>
      <c r="H365" s="8">
        <v>8248438488</v>
      </c>
      <c r="I365" s="10" t="s">
        <v>30</v>
      </c>
      <c r="J365" s="8" t="s">
        <v>181</v>
      </c>
      <c r="K365" s="8" t="s">
        <v>27</v>
      </c>
      <c r="L365" s="8" t="s">
        <v>28</v>
      </c>
      <c r="M365" s="2" t="s">
        <v>146</v>
      </c>
      <c r="N365" s="6" t="s">
        <v>138</v>
      </c>
      <c r="O365" s="11">
        <v>550</v>
      </c>
      <c r="P365" s="2" t="s">
        <v>568</v>
      </c>
      <c r="Q365" s="12" t="str">
        <f t="shared" ref="Q365:Q418" si="82">MID(P365,5,2)</f>
        <v>23</v>
      </c>
      <c r="R365" s="12" t="str">
        <f t="shared" ref="R365:R418" si="83">MID(P365,7,2)</f>
        <v>05</v>
      </c>
      <c r="S365" s="6" t="s">
        <v>129</v>
      </c>
      <c r="T365" s="1" t="s">
        <v>130</v>
      </c>
      <c r="U365" s="6" t="s">
        <v>148</v>
      </c>
      <c r="V365" s="1" t="s">
        <v>143</v>
      </c>
      <c r="W365" s="1" t="s">
        <v>133</v>
      </c>
      <c r="X365" s="5">
        <v>46216</v>
      </c>
      <c r="Y365" s="1">
        <f t="shared" ref="Y365:Y419" si="84">X365-A365</f>
        <v>82</v>
      </c>
      <c r="Z365" s="5">
        <v>46216</v>
      </c>
      <c r="AA365" s="3"/>
      <c r="AB365" s="3"/>
      <c r="AD365" s="133" t="str">
        <f t="shared" si="67"/>
        <v>Closed In July</v>
      </c>
    </row>
    <row r="366" spans="1:30" hidden="1">
      <c r="A366" s="9">
        <v>46134</v>
      </c>
      <c r="B366" s="1">
        <v>2026</v>
      </c>
      <c r="C366" s="8" t="s">
        <v>26</v>
      </c>
      <c r="D366" s="11" t="s">
        <v>179</v>
      </c>
      <c r="E366" s="1"/>
      <c r="F366" s="1" t="s">
        <v>19</v>
      </c>
      <c r="G366" s="8" t="s">
        <v>180</v>
      </c>
      <c r="H366" s="8">
        <v>8248438488</v>
      </c>
      <c r="I366" s="10" t="s">
        <v>30</v>
      </c>
      <c r="J366" s="8" t="s">
        <v>181</v>
      </c>
      <c r="K366" s="8" t="s">
        <v>27</v>
      </c>
      <c r="L366" s="8" t="s">
        <v>28</v>
      </c>
      <c r="M366" s="2" t="s">
        <v>146</v>
      </c>
      <c r="N366" s="6" t="s">
        <v>138</v>
      </c>
      <c r="O366" s="11">
        <v>550</v>
      </c>
      <c r="P366" s="2" t="s">
        <v>569</v>
      </c>
      <c r="Q366" s="12" t="str">
        <f t="shared" si="82"/>
        <v>23</v>
      </c>
      <c r="R366" s="12" t="str">
        <f t="shared" si="83"/>
        <v>05</v>
      </c>
      <c r="S366" s="6" t="s">
        <v>129</v>
      </c>
      <c r="T366" s="1" t="s">
        <v>130</v>
      </c>
      <c r="U366" s="6" t="s">
        <v>148</v>
      </c>
      <c r="V366" s="1" t="s">
        <v>143</v>
      </c>
      <c r="W366" s="1" t="s">
        <v>133</v>
      </c>
      <c r="X366" s="5">
        <v>46216</v>
      </c>
      <c r="Y366" s="1">
        <f t="shared" si="84"/>
        <v>82</v>
      </c>
      <c r="Z366" s="5">
        <v>46216</v>
      </c>
      <c r="AA366" s="3"/>
      <c r="AB366" s="3"/>
      <c r="AD366" s="133" t="str">
        <f t="shared" si="67"/>
        <v>Closed In July</v>
      </c>
    </row>
    <row r="367" spans="1:30" hidden="1">
      <c r="A367" s="9">
        <v>46134</v>
      </c>
      <c r="B367" s="1">
        <v>2026</v>
      </c>
      <c r="C367" s="8" t="s">
        <v>26</v>
      </c>
      <c r="D367" s="11" t="s">
        <v>179</v>
      </c>
      <c r="E367" s="1"/>
      <c r="F367" s="1" t="s">
        <v>19</v>
      </c>
      <c r="G367" s="8" t="s">
        <v>180</v>
      </c>
      <c r="H367" s="8">
        <v>8248438488</v>
      </c>
      <c r="I367" s="10" t="s">
        <v>30</v>
      </c>
      <c r="J367" s="8" t="s">
        <v>181</v>
      </c>
      <c r="K367" s="8" t="s">
        <v>27</v>
      </c>
      <c r="L367" s="8" t="s">
        <v>28</v>
      </c>
      <c r="M367" s="2" t="s">
        <v>137</v>
      </c>
      <c r="N367" s="6" t="s">
        <v>138</v>
      </c>
      <c r="O367" s="11">
        <v>550</v>
      </c>
      <c r="P367" s="2" t="s">
        <v>570</v>
      </c>
      <c r="Q367" s="12" t="str">
        <f t="shared" si="82"/>
        <v>23</v>
      </c>
      <c r="R367" s="12" t="str">
        <f t="shared" si="83"/>
        <v>06</v>
      </c>
      <c r="S367" s="6" t="s">
        <v>129</v>
      </c>
      <c r="T367" s="1" t="s">
        <v>130</v>
      </c>
      <c r="U367" s="6" t="s">
        <v>142</v>
      </c>
      <c r="V367" s="1" t="s">
        <v>143</v>
      </c>
      <c r="W367" s="1" t="s">
        <v>133</v>
      </c>
      <c r="X367" s="5">
        <v>46216</v>
      </c>
      <c r="Y367" s="1">
        <f t="shared" si="84"/>
        <v>82</v>
      </c>
      <c r="Z367" s="5">
        <v>46216</v>
      </c>
      <c r="AA367" s="3"/>
      <c r="AB367" s="3"/>
      <c r="AD367" s="133" t="str">
        <f t="shared" si="67"/>
        <v>Closed In July</v>
      </c>
    </row>
    <row r="368" spans="1:30" hidden="1">
      <c r="A368" s="9">
        <v>46134</v>
      </c>
      <c r="B368" s="1">
        <v>2026</v>
      </c>
      <c r="C368" s="8" t="s">
        <v>26</v>
      </c>
      <c r="D368" s="11" t="s">
        <v>179</v>
      </c>
      <c r="E368" s="1"/>
      <c r="F368" s="1" t="s">
        <v>19</v>
      </c>
      <c r="G368" s="8" t="s">
        <v>180</v>
      </c>
      <c r="H368" s="8">
        <v>8248438488</v>
      </c>
      <c r="I368" s="10" t="s">
        <v>30</v>
      </c>
      <c r="J368" s="8" t="s">
        <v>181</v>
      </c>
      <c r="K368" s="8" t="s">
        <v>27</v>
      </c>
      <c r="L368" s="8" t="s">
        <v>28</v>
      </c>
      <c r="M368" s="2" t="s">
        <v>137</v>
      </c>
      <c r="N368" s="6" t="s">
        <v>138</v>
      </c>
      <c r="O368" s="11">
        <v>550</v>
      </c>
      <c r="P368" s="2" t="s">
        <v>571</v>
      </c>
      <c r="Q368" s="12" t="str">
        <f t="shared" si="82"/>
        <v>23</v>
      </c>
      <c r="R368" s="12" t="str">
        <f t="shared" si="83"/>
        <v>05</v>
      </c>
      <c r="S368" s="6" t="s">
        <v>129</v>
      </c>
      <c r="T368" s="1" t="s">
        <v>130</v>
      </c>
      <c r="U368" s="6" t="s">
        <v>142</v>
      </c>
      <c r="V368" s="1" t="s">
        <v>143</v>
      </c>
      <c r="W368" s="1" t="s">
        <v>133</v>
      </c>
      <c r="X368" s="5">
        <v>46216</v>
      </c>
      <c r="Y368" s="1">
        <f t="shared" si="84"/>
        <v>82</v>
      </c>
      <c r="Z368" s="5">
        <v>46216</v>
      </c>
      <c r="AA368" s="3"/>
      <c r="AB368" s="3"/>
      <c r="AD368" s="133" t="str">
        <f t="shared" si="67"/>
        <v>Closed In July</v>
      </c>
    </row>
    <row r="369" spans="1:30" hidden="1">
      <c r="A369" s="9">
        <v>46134</v>
      </c>
      <c r="B369" s="1">
        <v>2026</v>
      </c>
      <c r="C369" s="8" t="s">
        <v>26</v>
      </c>
      <c r="D369" s="11" t="s">
        <v>179</v>
      </c>
      <c r="E369" s="1"/>
      <c r="F369" s="1" t="s">
        <v>19</v>
      </c>
      <c r="G369" s="8" t="s">
        <v>180</v>
      </c>
      <c r="H369" s="8">
        <v>8248438488</v>
      </c>
      <c r="I369" s="10" t="s">
        <v>30</v>
      </c>
      <c r="J369" s="8" t="s">
        <v>181</v>
      </c>
      <c r="K369" s="8" t="s">
        <v>27</v>
      </c>
      <c r="L369" s="8" t="s">
        <v>28</v>
      </c>
      <c r="M369" s="2" t="s">
        <v>146</v>
      </c>
      <c r="N369" s="6" t="s">
        <v>138</v>
      </c>
      <c r="O369" s="11">
        <v>550</v>
      </c>
      <c r="P369" s="2" t="s">
        <v>572</v>
      </c>
      <c r="Q369" s="12" t="str">
        <f t="shared" si="82"/>
        <v>23</v>
      </c>
      <c r="R369" s="12" t="str">
        <f t="shared" si="83"/>
        <v>06</v>
      </c>
      <c r="S369" s="6" t="s">
        <v>129</v>
      </c>
      <c r="T369" s="1" t="s">
        <v>130</v>
      </c>
      <c r="U369" s="6" t="s">
        <v>148</v>
      </c>
      <c r="V369" s="1" t="s">
        <v>143</v>
      </c>
      <c r="W369" s="1" t="s">
        <v>133</v>
      </c>
      <c r="X369" s="5">
        <v>46216</v>
      </c>
      <c r="Y369" s="1">
        <f t="shared" si="84"/>
        <v>82</v>
      </c>
      <c r="Z369" s="5">
        <v>46216</v>
      </c>
      <c r="AA369" s="3"/>
      <c r="AB369" s="3"/>
      <c r="AD369" s="133" t="str">
        <f t="shared" si="67"/>
        <v>Closed In July</v>
      </c>
    </row>
    <row r="370" spans="1:30" hidden="1">
      <c r="A370" s="9">
        <v>46134</v>
      </c>
      <c r="B370" s="1">
        <v>2026</v>
      </c>
      <c r="C370" s="8" t="s">
        <v>26</v>
      </c>
      <c r="D370" s="11" t="s">
        <v>179</v>
      </c>
      <c r="E370" s="1"/>
      <c r="F370" s="1" t="s">
        <v>19</v>
      </c>
      <c r="G370" s="8" t="s">
        <v>180</v>
      </c>
      <c r="H370" s="8">
        <v>8248438488</v>
      </c>
      <c r="I370" s="10" t="s">
        <v>30</v>
      </c>
      <c r="J370" s="8" t="s">
        <v>181</v>
      </c>
      <c r="K370" s="8" t="s">
        <v>27</v>
      </c>
      <c r="L370" s="8" t="s">
        <v>28</v>
      </c>
      <c r="M370" s="2" t="s">
        <v>146</v>
      </c>
      <c r="N370" s="6" t="s">
        <v>138</v>
      </c>
      <c r="O370" s="11">
        <v>550</v>
      </c>
      <c r="P370" s="2" t="s">
        <v>573</v>
      </c>
      <c r="Q370" s="12" t="str">
        <f t="shared" si="82"/>
        <v>23</v>
      </c>
      <c r="R370" s="12" t="str">
        <f t="shared" si="83"/>
        <v>05</v>
      </c>
      <c r="S370" s="6" t="s">
        <v>129</v>
      </c>
      <c r="T370" s="1" t="s">
        <v>130</v>
      </c>
      <c r="U370" s="6" t="s">
        <v>148</v>
      </c>
      <c r="V370" s="1" t="s">
        <v>143</v>
      </c>
      <c r="W370" s="1" t="s">
        <v>133</v>
      </c>
      <c r="X370" s="5">
        <v>46216</v>
      </c>
      <c r="Y370" s="1">
        <f t="shared" si="84"/>
        <v>82</v>
      </c>
      <c r="Z370" s="5">
        <v>46216</v>
      </c>
      <c r="AA370" s="3"/>
      <c r="AB370" s="3"/>
      <c r="AD370" s="133" t="str">
        <f t="shared" si="67"/>
        <v>Closed In July</v>
      </c>
    </row>
    <row r="371" spans="1:30" hidden="1">
      <c r="A371" s="9">
        <v>46134</v>
      </c>
      <c r="B371" s="1">
        <v>2026</v>
      </c>
      <c r="C371" s="8" t="s">
        <v>26</v>
      </c>
      <c r="D371" s="11" t="s">
        <v>179</v>
      </c>
      <c r="E371" s="1"/>
      <c r="F371" s="1" t="s">
        <v>19</v>
      </c>
      <c r="G371" s="8" t="s">
        <v>180</v>
      </c>
      <c r="H371" s="8">
        <v>8248438488</v>
      </c>
      <c r="I371" s="10" t="s">
        <v>30</v>
      </c>
      <c r="J371" s="8" t="s">
        <v>181</v>
      </c>
      <c r="K371" s="8" t="s">
        <v>27</v>
      </c>
      <c r="L371" s="8" t="s">
        <v>28</v>
      </c>
      <c r="M371" s="2" t="s">
        <v>146</v>
      </c>
      <c r="N371" s="6" t="s">
        <v>138</v>
      </c>
      <c r="O371" s="11">
        <v>550</v>
      </c>
      <c r="P371" s="2" t="s">
        <v>574</v>
      </c>
      <c r="Q371" s="12" t="str">
        <f t="shared" si="82"/>
        <v>23</v>
      </c>
      <c r="R371" s="12" t="str">
        <f t="shared" si="83"/>
        <v>05</v>
      </c>
      <c r="S371" s="6" t="s">
        <v>129</v>
      </c>
      <c r="T371" s="1" t="s">
        <v>130</v>
      </c>
      <c r="U371" s="6" t="s">
        <v>148</v>
      </c>
      <c r="V371" s="1" t="s">
        <v>143</v>
      </c>
      <c r="W371" s="1" t="s">
        <v>133</v>
      </c>
      <c r="X371" s="5">
        <v>46216</v>
      </c>
      <c r="Y371" s="1">
        <f t="shared" si="84"/>
        <v>82</v>
      </c>
      <c r="Z371" s="5">
        <v>46216</v>
      </c>
      <c r="AA371" s="3"/>
      <c r="AB371" s="3"/>
      <c r="AD371" s="133" t="str">
        <f t="shared" si="67"/>
        <v>Closed In July</v>
      </c>
    </row>
    <row r="372" spans="1:30" hidden="1">
      <c r="A372" s="9">
        <v>46134</v>
      </c>
      <c r="B372" s="1">
        <v>2026</v>
      </c>
      <c r="C372" s="8" t="s">
        <v>26</v>
      </c>
      <c r="D372" s="11" t="s">
        <v>179</v>
      </c>
      <c r="E372" s="1"/>
      <c r="F372" s="1" t="s">
        <v>19</v>
      </c>
      <c r="G372" s="8" t="s">
        <v>180</v>
      </c>
      <c r="H372" s="8">
        <v>8248438488</v>
      </c>
      <c r="I372" s="10" t="s">
        <v>30</v>
      </c>
      <c r="J372" s="8" t="s">
        <v>181</v>
      </c>
      <c r="K372" s="8" t="s">
        <v>27</v>
      </c>
      <c r="L372" s="8" t="s">
        <v>28</v>
      </c>
      <c r="M372" s="2" t="s">
        <v>146</v>
      </c>
      <c r="N372" s="6" t="s">
        <v>138</v>
      </c>
      <c r="O372" s="11">
        <v>550</v>
      </c>
      <c r="P372" s="2" t="s">
        <v>575</v>
      </c>
      <c r="Q372" s="12" t="str">
        <f t="shared" si="82"/>
        <v>23</v>
      </c>
      <c r="R372" s="12" t="str">
        <f t="shared" si="83"/>
        <v>05</v>
      </c>
      <c r="S372" s="6" t="s">
        <v>129</v>
      </c>
      <c r="T372" s="1" t="s">
        <v>130</v>
      </c>
      <c r="U372" s="6" t="s">
        <v>148</v>
      </c>
      <c r="V372" s="1" t="s">
        <v>143</v>
      </c>
      <c r="W372" s="1" t="s">
        <v>133</v>
      </c>
      <c r="X372" s="5">
        <v>46216</v>
      </c>
      <c r="Y372" s="1">
        <f t="shared" si="84"/>
        <v>82</v>
      </c>
      <c r="Z372" s="5">
        <v>46216</v>
      </c>
      <c r="AA372" s="3"/>
      <c r="AB372" s="3"/>
      <c r="AD372" s="133" t="str">
        <f t="shared" si="67"/>
        <v>Closed In July</v>
      </c>
    </row>
    <row r="373" spans="1:30" hidden="1">
      <c r="A373" s="9">
        <v>46134</v>
      </c>
      <c r="B373" s="1">
        <v>2026</v>
      </c>
      <c r="C373" s="8" t="s">
        <v>26</v>
      </c>
      <c r="D373" s="11" t="s">
        <v>179</v>
      </c>
      <c r="E373" s="1"/>
      <c r="F373" s="1" t="s">
        <v>19</v>
      </c>
      <c r="G373" s="8" t="s">
        <v>180</v>
      </c>
      <c r="H373" s="8">
        <v>8248438488</v>
      </c>
      <c r="I373" s="10" t="s">
        <v>30</v>
      </c>
      <c r="J373" s="8" t="s">
        <v>181</v>
      </c>
      <c r="K373" s="8" t="s">
        <v>27</v>
      </c>
      <c r="L373" s="8" t="s">
        <v>28</v>
      </c>
      <c r="M373" s="2" t="s">
        <v>146</v>
      </c>
      <c r="N373" s="6" t="s">
        <v>138</v>
      </c>
      <c r="O373" s="11">
        <v>550</v>
      </c>
      <c r="P373" s="2" t="s">
        <v>576</v>
      </c>
      <c r="Q373" s="12" t="str">
        <f t="shared" si="82"/>
        <v>23</v>
      </c>
      <c r="R373" s="12" t="str">
        <f t="shared" si="83"/>
        <v>06</v>
      </c>
      <c r="S373" s="6" t="s">
        <v>129</v>
      </c>
      <c r="T373" s="1" t="s">
        <v>130</v>
      </c>
      <c r="U373" s="6" t="s">
        <v>148</v>
      </c>
      <c r="V373" s="1" t="s">
        <v>143</v>
      </c>
      <c r="W373" s="1" t="s">
        <v>133</v>
      </c>
      <c r="X373" s="5">
        <v>46216</v>
      </c>
      <c r="Y373" s="1">
        <f t="shared" si="84"/>
        <v>82</v>
      </c>
      <c r="Z373" s="5">
        <v>46216</v>
      </c>
      <c r="AA373" s="3"/>
      <c r="AB373" s="3"/>
      <c r="AD373" s="133" t="str">
        <f t="shared" si="67"/>
        <v>Closed In July</v>
      </c>
    </row>
    <row r="374" spans="1:30" hidden="1">
      <c r="A374" s="9">
        <v>46134</v>
      </c>
      <c r="B374" s="1">
        <v>2026</v>
      </c>
      <c r="C374" s="8" t="s">
        <v>26</v>
      </c>
      <c r="D374" s="11" t="s">
        <v>179</v>
      </c>
      <c r="E374" s="1"/>
      <c r="F374" s="1" t="s">
        <v>19</v>
      </c>
      <c r="G374" s="8" t="s">
        <v>180</v>
      </c>
      <c r="H374" s="8">
        <v>8248438488</v>
      </c>
      <c r="I374" s="10" t="s">
        <v>30</v>
      </c>
      <c r="J374" s="8" t="s">
        <v>181</v>
      </c>
      <c r="K374" s="8" t="s">
        <v>27</v>
      </c>
      <c r="L374" s="8" t="s">
        <v>28</v>
      </c>
      <c r="M374" s="2" t="s">
        <v>126</v>
      </c>
      <c r="N374" s="1" t="s">
        <v>127</v>
      </c>
      <c r="O374" s="11">
        <v>550</v>
      </c>
      <c r="P374" s="2" t="s">
        <v>577</v>
      </c>
      <c r="Q374" s="12" t="str">
        <f t="shared" si="82"/>
        <v>23</v>
      </c>
      <c r="R374" s="12" t="str">
        <f t="shared" si="83"/>
        <v>05</v>
      </c>
      <c r="S374" s="6" t="s">
        <v>129</v>
      </c>
      <c r="T374" s="1" t="s">
        <v>130</v>
      </c>
      <c r="U374" s="6" t="s">
        <v>145</v>
      </c>
      <c r="V374" s="6" t="s">
        <v>132</v>
      </c>
      <c r="W374" s="1" t="s">
        <v>133</v>
      </c>
      <c r="X374" s="5">
        <v>46216</v>
      </c>
      <c r="Y374" s="1">
        <f t="shared" si="84"/>
        <v>82</v>
      </c>
      <c r="Z374" s="5">
        <v>46216</v>
      </c>
      <c r="AA374" s="15"/>
      <c r="AB374" s="15"/>
      <c r="AD374" s="133" t="str">
        <f t="shared" si="67"/>
        <v>Closed In July</v>
      </c>
    </row>
    <row r="375" spans="1:30" hidden="1">
      <c r="A375" s="9">
        <v>46134</v>
      </c>
      <c r="B375" s="1">
        <v>2026</v>
      </c>
      <c r="C375" s="8" t="s">
        <v>26</v>
      </c>
      <c r="D375" s="11" t="s">
        <v>179</v>
      </c>
      <c r="E375" s="1"/>
      <c r="F375" s="1" t="s">
        <v>19</v>
      </c>
      <c r="G375" s="8" t="s">
        <v>180</v>
      </c>
      <c r="H375" s="8">
        <v>8248438488</v>
      </c>
      <c r="I375" s="10" t="s">
        <v>30</v>
      </c>
      <c r="J375" s="8" t="s">
        <v>181</v>
      </c>
      <c r="K375" s="8" t="s">
        <v>27</v>
      </c>
      <c r="L375" s="8" t="s">
        <v>28</v>
      </c>
      <c r="M375" s="2" t="s">
        <v>146</v>
      </c>
      <c r="N375" s="6" t="s">
        <v>138</v>
      </c>
      <c r="O375" s="11">
        <v>550</v>
      </c>
      <c r="P375" s="2" t="s">
        <v>578</v>
      </c>
      <c r="Q375" s="12" t="str">
        <f t="shared" si="82"/>
        <v>23</v>
      </c>
      <c r="R375" s="12" t="str">
        <f t="shared" si="83"/>
        <v>05</v>
      </c>
      <c r="S375" s="6" t="s">
        <v>129</v>
      </c>
      <c r="T375" s="1" t="s">
        <v>130</v>
      </c>
      <c r="U375" s="6" t="s">
        <v>148</v>
      </c>
      <c r="V375" s="1" t="s">
        <v>143</v>
      </c>
      <c r="W375" s="1" t="s">
        <v>133</v>
      </c>
      <c r="X375" s="5">
        <v>46216</v>
      </c>
      <c r="Y375" s="1">
        <f t="shared" si="84"/>
        <v>82</v>
      </c>
      <c r="Z375" s="5">
        <v>46216</v>
      </c>
      <c r="AA375" s="3"/>
      <c r="AB375" s="3"/>
      <c r="AD375" s="133" t="str">
        <f t="shared" si="67"/>
        <v>Closed In July</v>
      </c>
    </row>
    <row r="376" spans="1:30" hidden="1">
      <c r="A376" s="9">
        <v>46134</v>
      </c>
      <c r="B376" s="1">
        <v>2026</v>
      </c>
      <c r="C376" s="8" t="s">
        <v>26</v>
      </c>
      <c r="D376" s="11" t="s">
        <v>179</v>
      </c>
      <c r="E376" s="1"/>
      <c r="F376" s="1" t="s">
        <v>19</v>
      </c>
      <c r="G376" s="8" t="s">
        <v>180</v>
      </c>
      <c r="H376" s="8">
        <v>8248438488</v>
      </c>
      <c r="I376" s="10" t="s">
        <v>30</v>
      </c>
      <c r="J376" s="8" t="s">
        <v>181</v>
      </c>
      <c r="K376" s="8" t="s">
        <v>27</v>
      </c>
      <c r="L376" s="8" t="s">
        <v>28</v>
      </c>
      <c r="M376" s="2" t="s">
        <v>146</v>
      </c>
      <c r="N376" s="6" t="s">
        <v>138</v>
      </c>
      <c r="O376" s="11">
        <v>550</v>
      </c>
      <c r="P376" s="2" t="s">
        <v>579</v>
      </c>
      <c r="Q376" s="12" t="str">
        <f t="shared" si="82"/>
        <v>23</v>
      </c>
      <c r="R376" s="12" t="str">
        <f t="shared" si="83"/>
        <v>05</v>
      </c>
      <c r="S376" s="6" t="s">
        <v>129</v>
      </c>
      <c r="T376" s="1" t="s">
        <v>130</v>
      </c>
      <c r="U376" s="6" t="s">
        <v>148</v>
      </c>
      <c r="V376" s="1" t="s">
        <v>143</v>
      </c>
      <c r="W376" s="1" t="s">
        <v>133</v>
      </c>
      <c r="X376" s="5">
        <v>46216</v>
      </c>
      <c r="Y376" s="1">
        <f t="shared" si="84"/>
        <v>82</v>
      </c>
      <c r="Z376" s="5">
        <v>46216</v>
      </c>
      <c r="AA376" s="3"/>
      <c r="AB376" s="3"/>
      <c r="AD376" s="133" t="str">
        <f t="shared" si="67"/>
        <v>Closed In July</v>
      </c>
    </row>
    <row r="377" spans="1:30" hidden="1">
      <c r="A377" s="9">
        <v>46134</v>
      </c>
      <c r="B377" s="1">
        <v>2026</v>
      </c>
      <c r="C377" s="8" t="s">
        <v>26</v>
      </c>
      <c r="D377" s="11" t="s">
        <v>179</v>
      </c>
      <c r="E377" s="1"/>
      <c r="F377" s="1" t="s">
        <v>19</v>
      </c>
      <c r="G377" s="8" t="s">
        <v>180</v>
      </c>
      <c r="H377" s="8">
        <v>8248438488</v>
      </c>
      <c r="I377" s="10" t="s">
        <v>30</v>
      </c>
      <c r="J377" s="8" t="s">
        <v>181</v>
      </c>
      <c r="K377" s="8" t="s">
        <v>27</v>
      </c>
      <c r="L377" s="8" t="s">
        <v>28</v>
      </c>
      <c r="M377" s="2" t="s">
        <v>126</v>
      </c>
      <c r="N377" s="1" t="s">
        <v>127</v>
      </c>
      <c r="O377" s="11">
        <v>550</v>
      </c>
      <c r="P377" s="2" t="s">
        <v>580</v>
      </c>
      <c r="Q377" s="12" t="str">
        <f t="shared" si="82"/>
        <v>23</v>
      </c>
      <c r="R377" s="12" t="str">
        <f t="shared" si="83"/>
        <v>05</v>
      </c>
      <c r="S377" s="6" t="s">
        <v>129</v>
      </c>
      <c r="T377" s="1" t="s">
        <v>130</v>
      </c>
      <c r="U377" s="6" t="s">
        <v>145</v>
      </c>
      <c r="V377" s="6" t="s">
        <v>132</v>
      </c>
      <c r="W377" s="1" t="s">
        <v>133</v>
      </c>
      <c r="X377" s="5">
        <v>46216</v>
      </c>
      <c r="Y377" s="1">
        <f t="shared" si="84"/>
        <v>82</v>
      </c>
      <c r="Z377" s="5">
        <v>46216</v>
      </c>
      <c r="AA377" s="15"/>
      <c r="AB377" s="15"/>
      <c r="AD377" s="133" t="str">
        <f t="shared" si="67"/>
        <v>Closed In July</v>
      </c>
    </row>
    <row r="378" spans="1:30" hidden="1">
      <c r="A378" s="9">
        <v>46134</v>
      </c>
      <c r="B378" s="1">
        <v>2026</v>
      </c>
      <c r="C378" s="8" t="s">
        <v>26</v>
      </c>
      <c r="D378" s="11" t="s">
        <v>179</v>
      </c>
      <c r="E378" s="1"/>
      <c r="F378" s="1" t="s">
        <v>19</v>
      </c>
      <c r="G378" s="8" t="s">
        <v>180</v>
      </c>
      <c r="H378" s="8">
        <v>8248438488</v>
      </c>
      <c r="I378" s="10" t="s">
        <v>30</v>
      </c>
      <c r="J378" s="8" t="s">
        <v>181</v>
      </c>
      <c r="K378" s="8" t="s">
        <v>27</v>
      </c>
      <c r="L378" s="8" t="s">
        <v>28</v>
      </c>
      <c r="M378" s="2" t="s">
        <v>146</v>
      </c>
      <c r="N378" s="6" t="s">
        <v>138</v>
      </c>
      <c r="O378" s="11">
        <v>550</v>
      </c>
      <c r="P378" s="2" t="s">
        <v>581</v>
      </c>
      <c r="Q378" s="12" t="str">
        <f t="shared" si="82"/>
        <v>23</v>
      </c>
      <c r="R378" s="12" t="str">
        <f t="shared" si="83"/>
        <v>05</v>
      </c>
      <c r="S378" s="6" t="s">
        <v>129</v>
      </c>
      <c r="T378" s="1" t="s">
        <v>130</v>
      </c>
      <c r="U378" s="6" t="s">
        <v>148</v>
      </c>
      <c r="V378" s="1" t="s">
        <v>143</v>
      </c>
      <c r="W378" s="1" t="s">
        <v>133</v>
      </c>
      <c r="X378" s="5">
        <v>46216</v>
      </c>
      <c r="Y378" s="1">
        <f t="shared" si="84"/>
        <v>82</v>
      </c>
      <c r="Z378" s="5">
        <v>46216</v>
      </c>
      <c r="AA378" s="3"/>
      <c r="AB378" s="3"/>
      <c r="AD378" s="133" t="str">
        <f t="shared" si="67"/>
        <v>Closed In July</v>
      </c>
    </row>
    <row r="379" spans="1:30" hidden="1">
      <c r="A379" s="9">
        <v>46134</v>
      </c>
      <c r="B379" s="1">
        <v>2026</v>
      </c>
      <c r="C379" s="8" t="s">
        <v>26</v>
      </c>
      <c r="D379" s="11" t="s">
        <v>179</v>
      </c>
      <c r="E379" s="1"/>
      <c r="F379" s="1" t="s">
        <v>19</v>
      </c>
      <c r="G379" s="8" t="s">
        <v>180</v>
      </c>
      <c r="H379" s="8">
        <v>8248438488</v>
      </c>
      <c r="I379" s="10" t="s">
        <v>30</v>
      </c>
      <c r="J379" s="8" t="s">
        <v>181</v>
      </c>
      <c r="K379" s="8" t="s">
        <v>27</v>
      </c>
      <c r="L379" s="8" t="s">
        <v>28</v>
      </c>
      <c r="M379" s="2" t="s">
        <v>146</v>
      </c>
      <c r="N379" s="6" t="s">
        <v>138</v>
      </c>
      <c r="O379" s="11">
        <v>550</v>
      </c>
      <c r="P379" s="2" t="s">
        <v>582</v>
      </c>
      <c r="Q379" s="12" t="str">
        <f t="shared" si="82"/>
        <v>23</v>
      </c>
      <c r="R379" s="12" t="str">
        <f t="shared" si="83"/>
        <v>05</v>
      </c>
      <c r="S379" s="6" t="s">
        <v>129</v>
      </c>
      <c r="T379" s="1" t="s">
        <v>130</v>
      </c>
      <c r="U379" s="6" t="s">
        <v>148</v>
      </c>
      <c r="V379" s="1" t="s">
        <v>143</v>
      </c>
      <c r="W379" s="1" t="s">
        <v>133</v>
      </c>
      <c r="X379" s="5">
        <v>46216</v>
      </c>
      <c r="Y379" s="1">
        <f t="shared" si="84"/>
        <v>82</v>
      </c>
      <c r="Z379" s="5">
        <v>46216</v>
      </c>
      <c r="AA379" s="3"/>
      <c r="AB379" s="3"/>
      <c r="AD379" s="133" t="str">
        <f t="shared" si="67"/>
        <v>Closed In July</v>
      </c>
    </row>
    <row r="380" spans="1:30" hidden="1">
      <c r="A380" s="9">
        <v>46134</v>
      </c>
      <c r="B380" s="1">
        <v>2026</v>
      </c>
      <c r="C380" s="8" t="s">
        <v>26</v>
      </c>
      <c r="D380" s="11" t="s">
        <v>179</v>
      </c>
      <c r="E380" s="1"/>
      <c r="F380" s="1" t="s">
        <v>19</v>
      </c>
      <c r="G380" s="8" t="s">
        <v>180</v>
      </c>
      <c r="H380" s="8">
        <v>8248438488</v>
      </c>
      <c r="I380" s="10" t="s">
        <v>30</v>
      </c>
      <c r="J380" s="8" t="s">
        <v>181</v>
      </c>
      <c r="K380" s="8" t="s">
        <v>27</v>
      </c>
      <c r="L380" s="8" t="s">
        <v>28</v>
      </c>
      <c r="M380" s="2" t="s">
        <v>146</v>
      </c>
      <c r="N380" s="6" t="s">
        <v>138</v>
      </c>
      <c r="O380" s="11">
        <v>550</v>
      </c>
      <c r="P380" s="2" t="s">
        <v>583</v>
      </c>
      <c r="Q380" s="12" t="str">
        <f t="shared" si="82"/>
        <v>23</v>
      </c>
      <c r="R380" s="12" t="str">
        <f t="shared" si="83"/>
        <v>05</v>
      </c>
      <c r="S380" s="6" t="s">
        <v>129</v>
      </c>
      <c r="T380" s="1" t="s">
        <v>130</v>
      </c>
      <c r="U380" s="6" t="s">
        <v>148</v>
      </c>
      <c r="V380" s="1" t="s">
        <v>143</v>
      </c>
      <c r="W380" s="1" t="s">
        <v>133</v>
      </c>
      <c r="X380" s="5">
        <v>46216</v>
      </c>
      <c r="Y380" s="1">
        <f t="shared" si="84"/>
        <v>82</v>
      </c>
      <c r="Z380" s="5">
        <v>46216</v>
      </c>
      <c r="AA380" s="3"/>
      <c r="AB380" s="3"/>
      <c r="AD380" s="133" t="str">
        <f t="shared" si="67"/>
        <v>Closed In July</v>
      </c>
    </row>
    <row r="381" spans="1:30" hidden="1">
      <c r="A381" s="9">
        <v>46134</v>
      </c>
      <c r="B381" s="1">
        <v>2026</v>
      </c>
      <c r="C381" s="8" t="s">
        <v>26</v>
      </c>
      <c r="D381" s="11" t="s">
        <v>179</v>
      </c>
      <c r="E381" s="1"/>
      <c r="F381" s="1" t="s">
        <v>19</v>
      </c>
      <c r="G381" s="8" t="s">
        <v>180</v>
      </c>
      <c r="H381" s="8">
        <v>8248438488</v>
      </c>
      <c r="I381" s="10" t="s">
        <v>30</v>
      </c>
      <c r="J381" s="8" t="s">
        <v>181</v>
      </c>
      <c r="K381" s="8" t="s">
        <v>27</v>
      </c>
      <c r="L381" s="8" t="s">
        <v>28</v>
      </c>
      <c r="M381" s="2" t="s">
        <v>146</v>
      </c>
      <c r="N381" s="6" t="s">
        <v>138</v>
      </c>
      <c r="O381" s="11">
        <v>550</v>
      </c>
      <c r="P381" s="2" t="s">
        <v>584</v>
      </c>
      <c r="Q381" s="12" t="str">
        <f t="shared" si="82"/>
        <v>23</v>
      </c>
      <c r="R381" s="12" t="str">
        <f t="shared" si="83"/>
        <v>05</v>
      </c>
      <c r="S381" s="6" t="s">
        <v>129</v>
      </c>
      <c r="T381" s="1" t="s">
        <v>130</v>
      </c>
      <c r="U381" s="6" t="s">
        <v>148</v>
      </c>
      <c r="V381" s="1" t="s">
        <v>143</v>
      </c>
      <c r="W381" s="1" t="s">
        <v>133</v>
      </c>
      <c r="X381" s="5">
        <v>46216</v>
      </c>
      <c r="Y381" s="1">
        <f t="shared" si="84"/>
        <v>82</v>
      </c>
      <c r="Z381" s="5">
        <v>46216</v>
      </c>
      <c r="AA381" s="3"/>
      <c r="AB381" s="3"/>
      <c r="AD381" s="133" t="str">
        <f t="shared" si="67"/>
        <v>Closed In July</v>
      </c>
    </row>
    <row r="382" spans="1:30">
      <c r="A382" s="9">
        <v>46216</v>
      </c>
      <c r="B382" s="1">
        <v>2026</v>
      </c>
      <c r="C382" s="8" t="s">
        <v>52</v>
      </c>
      <c r="D382" s="11" t="s">
        <v>459</v>
      </c>
      <c r="E382" s="1"/>
      <c r="F382" s="1" t="s">
        <v>38</v>
      </c>
      <c r="G382" s="8" t="s">
        <v>497</v>
      </c>
      <c r="H382" s="8">
        <v>9703345015</v>
      </c>
      <c r="I382" s="10" t="s">
        <v>1155</v>
      </c>
      <c r="J382" s="8" t="s">
        <v>125</v>
      </c>
      <c r="K382" s="8" t="s">
        <v>73</v>
      </c>
      <c r="L382" s="8" t="s">
        <v>74</v>
      </c>
      <c r="M382" s="2" t="s">
        <v>1156</v>
      </c>
      <c r="N382" s="6" t="s">
        <v>125</v>
      </c>
      <c r="O382" s="11">
        <v>335</v>
      </c>
      <c r="P382" s="126" t="s">
        <v>1157</v>
      </c>
      <c r="Q382" s="12" t="str">
        <f>MID(P382,4,2)</f>
        <v>23</v>
      </c>
      <c r="R382" s="12" t="str">
        <f>MID(P382,6,2)</f>
        <v>05</v>
      </c>
      <c r="S382" s="6" t="s">
        <v>129</v>
      </c>
      <c r="T382" s="1" t="s">
        <v>1202</v>
      </c>
      <c r="U382" s="6" t="s">
        <v>1164</v>
      </c>
      <c r="V382" s="1" t="s">
        <v>258</v>
      </c>
      <c r="W382" s="1" t="s">
        <v>1165</v>
      </c>
      <c r="X382" s="5"/>
      <c r="Y382" s="1"/>
      <c r="Z382" s="5">
        <v>46216</v>
      </c>
      <c r="AA382" s="3"/>
      <c r="AB382" s="3"/>
      <c r="AD382" s="133" t="str">
        <f t="shared" si="67"/>
        <v>Other</v>
      </c>
    </row>
    <row r="383" spans="1:30">
      <c r="A383" s="9">
        <v>46216</v>
      </c>
      <c r="B383" s="1">
        <v>2026</v>
      </c>
      <c r="C383" s="8" t="s">
        <v>52</v>
      </c>
      <c r="D383" s="11" t="s">
        <v>459</v>
      </c>
      <c r="E383" s="1"/>
      <c r="F383" s="1" t="s">
        <v>38</v>
      </c>
      <c r="G383" s="8" t="s">
        <v>497</v>
      </c>
      <c r="H383" s="8">
        <v>9703345015</v>
      </c>
      <c r="I383" s="10" t="s">
        <v>1155</v>
      </c>
      <c r="J383" s="8" t="s">
        <v>125</v>
      </c>
      <c r="K383" s="8" t="s">
        <v>73</v>
      </c>
      <c r="L383" s="8" t="s">
        <v>74</v>
      </c>
      <c r="M383" s="2"/>
      <c r="N383" s="6" t="s">
        <v>125</v>
      </c>
      <c r="O383" s="11">
        <v>335</v>
      </c>
      <c r="P383" s="126" t="s">
        <v>1158</v>
      </c>
      <c r="Q383" s="12" t="str">
        <f t="shared" ref="Q383:Q387" si="85">MID(P383,4,2)</f>
        <v>23</v>
      </c>
      <c r="R383" s="12" t="str">
        <f t="shared" ref="R383:R387" si="86">MID(P383,6,2)</f>
        <v>05</v>
      </c>
      <c r="S383" s="6" t="s">
        <v>129</v>
      </c>
      <c r="T383" s="1" t="s">
        <v>1202</v>
      </c>
      <c r="U383" s="6"/>
      <c r="V383" s="1" t="s">
        <v>258</v>
      </c>
      <c r="W383" s="1" t="s">
        <v>1165</v>
      </c>
      <c r="X383" s="5"/>
      <c r="Y383" s="1"/>
      <c r="Z383" s="5">
        <v>46216</v>
      </c>
      <c r="AA383" s="3"/>
      <c r="AB383" s="3"/>
      <c r="AD383" s="133" t="str">
        <f t="shared" si="67"/>
        <v>Other</v>
      </c>
    </row>
    <row r="384" spans="1:30">
      <c r="A384" s="9">
        <v>46216</v>
      </c>
      <c r="B384" s="1">
        <v>2026</v>
      </c>
      <c r="C384" s="8" t="s">
        <v>52</v>
      </c>
      <c r="D384" s="11" t="s">
        <v>459</v>
      </c>
      <c r="E384" s="1"/>
      <c r="F384" s="1" t="s">
        <v>38</v>
      </c>
      <c r="G384" s="8" t="s">
        <v>497</v>
      </c>
      <c r="H384" s="8">
        <v>9703345015</v>
      </c>
      <c r="I384" s="10" t="s">
        <v>1155</v>
      </c>
      <c r="J384" s="8" t="s">
        <v>125</v>
      </c>
      <c r="K384" s="8" t="s">
        <v>73</v>
      </c>
      <c r="L384" s="8" t="s">
        <v>74</v>
      </c>
      <c r="M384" s="2"/>
      <c r="N384" s="6" t="s">
        <v>125</v>
      </c>
      <c r="O384" s="11">
        <v>335</v>
      </c>
      <c r="P384" s="126" t="s">
        <v>1159</v>
      </c>
      <c r="Q384" s="12" t="str">
        <f t="shared" si="85"/>
        <v>23</v>
      </c>
      <c r="R384" s="12" t="str">
        <f t="shared" si="86"/>
        <v>05</v>
      </c>
      <c r="S384" s="6" t="s">
        <v>129</v>
      </c>
      <c r="T384" s="1" t="s">
        <v>1202</v>
      </c>
      <c r="U384" s="6"/>
      <c r="V384" s="1" t="s">
        <v>258</v>
      </c>
      <c r="W384" s="1" t="s">
        <v>1165</v>
      </c>
      <c r="X384" s="5"/>
      <c r="Y384" s="1"/>
      <c r="Z384" s="5">
        <v>46216</v>
      </c>
      <c r="AA384" s="3"/>
      <c r="AB384" s="3"/>
      <c r="AD384" s="133" t="str">
        <f t="shared" si="67"/>
        <v>Other</v>
      </c>
    </row>
    <row r="385" spans="1:30">
      <c r="A385" s="9">
        <v>46216</v>
      </c>
      <c r="B385" s="1">
        <v>2026</v>
      </c>
      <c r="C385" s="8" t="s">
        <v>52</v>
      </c>
      <c r="D385" s="11" t="s">
        <v>459</v>
      </c>
      <c r="E385" s="1"/>
      <c r="F385" s="1" t="s">
        <v>38</v>
      </c>
      <c r="G385" s="8" t="s">
        <v>497</v>
      </c>
      <c r="H385" s="8">
        <v>9703345015</v>
      </c>
      <c r="I385" s="10" t="s">
        <v>1155</v>
      </c>
      <c r="J385" s="8" t="s">
        <v>125</v>
      </c>
      <c r="K385" s="8" t="s">
        <v>73</v>
      </c>
      <c r="L385" s="8" t="s">
        <v>74</v>
      </c>
      <c r="M385" s="2"/>
      <c r="N385" s="6" t="s">
        <v>125</v>
      </c>
      <c r="O385" s="11">
        <v>335</v>
      </c>
      <c r="P385" s="126" t="s">
        <v>1160</v>
      </c>
      <c r="Q385" s="12" t="str">
        <f t="shared" si="85"/>
        <v>23</v>
      </c>
      <c r="R385" s="12" t="str">
        <f t="shared" si="86"/>
        <v>05</v>
      </c>
      <c r="S385" s="6" t="s">
        <v>129</v>
      </c>
      <c r="T385" s="1" t="s">
        <v>1202</v>
      </c>
      <c r="U385" s="6"/>
      <c r="V385" s="1" t="s">
        <v>258</v>
      </c>
      <c r="W385" s="1" t="s">
        <v>1165</v>
      </c>
      <c r="X385" s="5"/>
      <c r="Y385" s="1"/>
      <c r="Z385" s="5">
        <v>46216</v>
      </c>
      <c r="AA385" s="3"/>
      <c r="AB385" s="3"/>
      <c r="AD385" s="133" t="str">
        <f t="shared" si="67"/>
        <v>Other</v>
      </c>
    </row>
    <row r="386" spans="1:30">
      <c r="A386" s="9">
        <v>46216</v>
      </c>
      <c r="B386" s="1">
        <v>2026</v>
      </c>
      <c r="C386" s="8" t="s">
        <v>52</v>
      </c>
      <c r="D386" s="11" t="s">
        <v>459</v>
      </c>
      <c r="E386" s="1"/>
      <c r="F386" s="1" t="s">
        <v>38</v>
      </c>
      <c r="G386" s="8" t="s">
        <v>497</v>
      </c>
      <c r="H386" s="8">
        <v>9703345015</v>
      </c>
      <c r="I386" s="10" t="s">
        <v>1155</v>
      </c>
      <c r="J386" s="8" t="s">
        <v>125</v>
      </c>
      <c r="K386" s="8" t="s">
        <v>73</v>
      </c>
      <c r="L386" s="8" t="s">
        <v>74</v>
      </c>
      <c r="M386" s="2"/>
      <c r="N386" s="6" t="s">
        <v>125</v>
      </c>
      <c r="O386" s="11">
        <v>335</v>
      </c>
      <c r="P386" s="126" t="s">
        <v>1161</v>
      </c>
      <c r="Q386" s="12" t="str">
        <f t="shared" si="85"/>
        <v>23</v>
      </c>
      <c r="R386" s="12" t="str">
        <f t="shared" si="86"/>
        <v>05</v>
      </c>
      <c r="S386" s="6" t="s">
        <v>129</v>
      </c>
      <c r="T386" s="1" t="s">
        <v>1202</v>
      </c>
      <c r="U386" s="6"/>
      <c r="V386" s="1" t="s">
        <v>258</v>
      </c>
      <c r="W386" s="1" t="s">
        <v>1165</v>
      </c>
      <c r="X386" s="5"/>
      <c r="Y386" s="1"/>
      <c r="Z386" s="5">
        <v>46216</v>
      </c>
      <c r="AA386" s="3"/>
      <c r="AB386" s="3"/>
      <c r="AD386" s="133" t="str">
        <f t="shared" si="67"/>
        <v>Other</v>
      </c>
    </row>
    <row r="387" spans="1:30">
      <c r="A387" s="9">
        <v>46216</v>
      </c>
      <c r="B387" s="1">
        <v>2026</v>
      </c>
      <c r="C387" s="8" t="s">
        <v>52</v>
      </c>
      <c r="D387" s="11" t="s">
        <v>459</v>
      </c>
      <c r="E387" s="1"/>
      <c r="F387" s="1" t="s">
        <v>38</v>
      </c>
      <c r="G387" s="8" t="s">
        <v>497</v>
      </c>
      <c r="H387" s="8">
        <v>9703345015</v>
      </c>
      <c r="I387" s="10" t="s">
        <v>1155</v>
      </c>
      <c r="J387" s="8" t="s">
        <v>125</v>
      </c>
      <c r="K387" s="8" t="s">
        <v>73</v>
      </c>
      <c r="L387" s="8" t="s">
        <v>74</v>
      </c>
      <c r="M387" s="2"/>
      <c r="N387" s="6" t="s">
        <v>125</v>
      </c>
      <c r="O387" s="11">
        <v>335</v>
      </c>
      <c r="P387" s="126" t="s">
        <v>1162</v>
      </c>
      <c r="Q387" s="12" t="str">
        <f t="shared" si="85"/>
        <v>23</v>
      </c>
      <c r="R387" s="12" t="str">
        <f t="shared" si="86"/>
        <v>05</v>
      </c>
      <c r="S387" s="6" t="s">
        <v>129</v>
      </c>
      <c r="T387" s="1" t="s">
        <v>1202</v>
      </c>
      <c r="U387" s="6"/>
      <c r="V387" s="1" t="s">
        <v>258</v>
      </c>
      <c r="W387" s="1" t="s">
        <v>1165</v>
      </c>
      <c r="X387" s="5"/>
      <c r="Y387" s="1"/>
      <c r="Z387" s="5">
        <v>46216</v>
      </c>
      <c r="AA387" s="3"/>
      <c r="AB387" s="3"/>
      <c r="AD387" s="133" t="str">
        <f t="shared" ref="AD387:AD450" si="87">IF(AND(F387="Closed",X387&gt;=DATE(2026,7,1),X387&lt;=DATE(2026,7,31)),"Closed In July","Other")</f>
        <v>Other</v>
      </c>
    </row>
    <row r="388" spans="1:30" hidden="1">
      <c r="A388" s="9">
        <v>46134</v>
      </c>
      <c r="B388" s="1">
        <v>2026</v>
      </c>
      <c r="C388" s="8" t="s">
        <v>26</v>
      </c>
      <c r="D388" s="11" t="s">
        <v>179</v>
      </c>
      <c r="E388" s="1"/>
      <c r="F388" s="1" t="s">
        <v>19</v>
      </c>
      <c r="G388" s="8" t="s">
        <v>180</v>
      </c>
      <c r="H388" s="8">
        <v>8248438488</v>
      </c>
      <c r="I388" s="10" t="s">
        <v>30</v>
      </c>
      <c r="J388" s="8" t="s">
        <v>181</v>
      </c>
      <c r="K388" s="8" t="s">
        <v>27</v>
      </c>
      <c r="L388" s="8" t="s">
        <v>28</v>
      </c>
      <c r="M388" s="23" t="s">
        <v>585</v>
      </c>
      <c r="N388" s="8" t="s">
        <v>312</v>
      </c>
      <c r="O388" s="11">
        <v>550</v>
      </c>
      <c r="P388" s="2" t="s">
        <v>586</v>
      </c>
      <c r="Q388" s="12" t="str">
        <f t="shared" si="82"/>
        <v>23</v>
      </c>
      <c r="R388" s="12" t="str">
        <f t="shared" si="83"/>
        <v>05</v>
      </c>
      <c r="S388" s="6" t="s">
        <v>129</v>
      </c>
      <c r="T388" s="1" t="s">
        <v>130</v>
      </c>
      <c r="U388" s="6" t="s">
        <v>314</v>
      </c>
      <c r="V388" s="1" t="s">
        <v>258</v>
      </c>
      <c r="W388" s="1" t="s">
        <v>259</v>
      </c>
      <c r="X388" s="5">
        <v>46216</v>
      </c>
      <c r="Y388" s="1">
        <f t="shared" si="84"/>
        <v>82</v>
      </c>
      <c r="Z388" s="5">
        <v>46216</v>
      </c>
      <c r="AA388" s="3"/>
      <c r="AB388" s="3"/>
      <c r="AD388" s="133" t="str">
        <f t="shared" si="87"/>
        <v>Closed In July</v>
      </c>
    </row>
    <row r="389" spans="1:30" hidden="1">
      <c r="A389" s="9">
        <v>46134</v>
      </c>
      <c r="B389" s="1">
        <v>2026</v>
      </c>
      <c r="C389" s="8" t="s">
        <v>26</v>
      </c>
      <c r="D389" s="11" t="s">
        <v>179</v>
      </c>
      <c r="E389" s="1"/>
      <c r="F389" s="1" t="s">
        <v>19</v>
      </c>
      <c r="G389" s="8" t="s">
        <v>180</v>
      </c>
      <c r="H389" s="8">
        <v>8248438488</v>
      </c>
      <c r="I389" s="10" t="s">
        <v>30</v>
      </c>
      <c r="J389" s="8" t="s">
        <v>181</v>
      </c>
      <c r="K389" s="8" t="s">
        <v>27</v>
      </c>
      <c r="L389" s="8" t="s">
        <v>28</v>
      </c>
      <c r="M389" s="2" t="s">
        <v>146</v>
      </c>
      <c r="N389" s="6" t="s">
        <v>138</v>
      </c>
      <c r="O389" s="11">
        <v>550</v>
      </c>
      <c r="P389" s="2" t="s">
        <v>587</v>
      </c>
      <c r="Q389" s="12" t="str">
        <f t="shared" si="82"/>
        <v>23</v>
      </c>
      <c r="R389" s="12" t="str">
        <f t="shared" si="83"/>
        <v>05</v>
      </c>
      <c r="S389" s="6" t="s">
        <v>129</v>
      </c>
      <c r="T389" s="1" t="s">
        <v>130</v>
      </c>
      <c r="U389" s="6" t="s">
        <v>148</v>
      </c>
      <c r="V389" s="1" t="s">
        <v>143</v>
      </c>
      <c r="W389" s="1" t="s">
        <v>133</v>
      </c>
      <c r="X389" s="5">
        <v>46218</v>
      </c>
      <c r="Y389" s="1">
        <f t="shared" si="84"/>
        <v>84</v>
      </c>
      <c r="Z389" s="5">
        <v>46218</v>
      </c>
      <c r="AA389" s="3"/>
      <c r="AB389" s="3"/>
      <c r="AD389" s="133" t="str">
        <f t="shared" si="87"/>
        <v>Closed In July</v>
      </c>
    </row>
    <row r="390" spans="1:30" hidden="1">
      <c r="A390" s="9">
        <v>46134</v>
      </c>
      <c r="B390" s="1">
        <v>2026</v>
      </c>
      <c r="C390" s="8" t="s">
        <v>26</v>
      </c>
      <c r="D390" s="11" t="s">
        <v>179</v>
      </c>
      <c r="E390" s="1"/>
      <c r="F390" s="1" t="s">
        <v>19</v>
      </c>
      <c r="G390" s="8" t="s">
        <v>180</v>
      </c>
      <c r="H390" s="8">
        <v>8248438488</v>
      </c>
      <c r="I390" s="10" t="s">
        <v>30</v>
      </c>
      <c r="J390" s="8" t="s">
        <v>181</v>
      </c>
      <c r="K390" s="8" t="s">
        <v>27</v>
      </c>
      <c r="L390" s="8" t="s">
        <v>28</v>
      </c>
      <c r="M390" s="2" t="s">
        <v>588</v>
      </c>
      <c r="N390" s="6" t="s">
        <v>138</v>
      </c>
      <c r="O390" s="11">
        <v>550</v>
      </c>
      <c r="P390" s="2" t="s">
        <v>589</v>
      </c>
      <c r="Q390" s="12" t="str">
        <f t="shared" si="82"/>
        <v>23</v>
      </c>
      <c r="R390" s="12" t="str">
        <f t="shared" si="83"/>
        <v>05</v>
      </c>
      <c r="S390" s="6" t="s">
        <v>129</v>
      </c>
      <c r="T390" s="1" t="s">
        <v>130</v>
      </c>
      <c r="U390" s="6" t="s">
        <v>142</v>
      </c>
      <c r="V390" s="1" t="s">
        <v>143</v>
      </c>
      <c r="W390" s="1" t="s">
        <v>133</v>
      </c>
      <c r="X390" s="5">
        <v>46218</v>
      </c>
      <c r="Y390" s="1">
        <f t="shared" si="84"/>
        <v>84</v>
      </c>
      <c r="Z390" s="5">
        <v>46218</v>
      </c>
      <c r="AA390" s="3"/>
      <c r="AB390" s="3"/>
      <c r="AD390" s="133" t="str">
        <f t="shared" si="87"/>
        <v>Closed In July</v>
      </c>
    </row>
    <row r="391" spans="1:30" hidden="1">
      <c r="A391" s="9">
        <v>46134</v>
      </c>
      <c r="B391" s="1">
        <v>2026</v>
      </c>
      <c r="C391" s="8" t="s">
        <v>26</v>
      </c>
      <c r="D391" s="11" t="s">
        <v>179</v>
      </c>
      <c r="E391" s="1"/>
      <c r="F391" s="1" t="s">
        <v>19</v>
      </c>
      <c r="G391" s="8" t="s">
        <v>180</v>
      </c>
      <c r="H391" s="8">
        <v>8248438488</v>
      </c>
      <c r="I391" s="10" t="s">
        <v>30</v>
      </c>
      <c r="J391" s="8" t="s">
        <v>181</v>
      </c>
      <c r="K391" s="8" t="s">
        <v>27</v>
      </c>
      <c r="L391" s="8" t="s">
        <v>28</v>
      </c>
      <c r="M391" s="2" t="s">
        <v>146</v>
      </c>
      <c r="N391" s="6" t="s">
        <v>138</v>
      </c>
      <c r="O391" s="11">
        <v>550</v>
      </c>
      <c r="P391" s="2" t="s">
        <v>590</v>
      </c>
      <c r="Q391" s="12" t="str">
        <f t="shared" si="82"/>
        <v>23</v>
      </c>
      <c r="R391" s="12" t="str">
        <f t="shared" si="83"/>
        <v>05</v>
      </c>
      <c r="S391" s="6" t="s">
        <v>129</v>
      </c>
      <c r="T391" s="1" t="s">
        <v>130</v>
      </c>
      <c r="U391" s="6" t="s">
        <v>148</v>
      </c>
      <c r="V391" s="1" t="s">
        <v>143</v>
      </c>
      <c r="W391" s="1" t="s">
        <v>133</v>
      </c>
      <c r="X391" s="5">
        <v>46218</v>
      </c>
      <c r="Y391" s="1">
        <f t="shared" si="84"/>
        <v>84</v>
      </c>
      <c r="Z391" s="5">
        <v>46218</v>
      </c>
      <c r="AA391" s="3"/>
      <c r="AB391" s="3"/>
      <c r="AD391" s="133" t="str">
        <f t="shared" si="87"/>
        <v>Closed In July</v>
      </c>
    </row>
    <row r="392" spans="1:30" hidden="1">
      <c r="A392" s="9">
        <v>46134</v>
      </c>
      <c r="B392" s="1">
        <v>2026</v>
      </c>
      <c r="C392" s="8" t="s">
        <v>26</v>
      </c>
      <c r="D392" s="11" t="s">
        <v>179</v>
      </c>
      <c r="E392" s="1"/>
      <c r="F392" s="1" t="s">
        <v>19</v>
      </c>
      <c r="G392" s="8" t="s">
        <v>180</v>
      </c>
      <c r="H392" s="8">
        <v>8248438488</v>
      </c>
      <c r="I392" s="10" t="s">
        <v>30</v>
      </c>
      <c r="J392" s="8" t="s">
        <v>181</v>
      </c>
      <c r="K392" s="8" t="s">
        <v>27</v>
      </c>
      <c r="L392" s="8" t="s">
        <v>28</v>
      </c>
      <c r="M392" s="2" t="s">
        <v>146</v>
      </c>
      <c r="N392" s="6" t="s">
        <v>138</v>
      </c>
      <c r="O392" s="11">
        <v>550</v>
      </c>
      <c r="P392" s="2" t="s">
        <v>591</v>
      </c>
      <c r="Q392" s="12" t="str">
        <f t="shared" si="82"/>
        <v>23</v>
      </c>
      <c r="R392" s="12" t="str">
        <f t="shared" si="83"/>
        <v>05</v>
      </c>
      <c r="S392" s="6" t="s">
        <v>129</v>
      </c>
      <c r="T392" s="1" t="s">
        <v>130</v>
      </c>
      <c r="U392" s="6" t="s">
        <v>148</v>
      </c>
      <c r="V392" s="1" t="s">
        <v>143</v>
      </c>
      <c r="W392" s="1" t="s">
        <v>133</v>
      </c>
      <c r="X392" s="5">
        <v>46218</v>
      </c>
      <c r="Y392" s="1">
        <f t="shared" si="84"/>
        <v>84</v>
      </c>
      <c r="Z392" s="5">
        <v>46218</v>
      </c>
      <c r="AA392" s="3"/>
      <c r="AB392" s="3"/>
      <c r="AD392" s="133" t="str">
        <f t="shared" si="87"/>
        <v>Closed In July</v>
      </c>
    </row>
    <row r="393" spans="1:30" hidden="1">
      <c r="A393" s="9">
        <v>46134</v>
      </c>
      <c r="B393" s="1">
        <v>2026</v>
      </c>
      <c r="C393" s="8" t="s">
        <v>26</v>
      </c>
      <c r="D393" s="11" t="s">
        <v>179</v>
      </c>
      <c r="E393" s="1"/>
      <c r="F393" s="1" t="s">
        <v>19</v>
      </c>
      <c r="G393" s="8" t="s">
        <v>180</v>
      </c>
      <c r="H393" s="8">
        <v>8248438488</v>
      </c>
      <c r="I393" s="10" t="s">
        <v>30</v>
      </c>
      <c r="J393" s="8" t="s">
        <v>181</v>
      </c>
      <c r="K393" s="8" t="s">
        <v>27</v>
      </c>
      <c r="L393" s="8" t="s">
        <v>28</v>
      </c>
      <c r="M393" s="2" t="s">
        <v>146</v>
      </c>
      <c r="N393" s="6" t="s">
        <v>138</v>
      </c>
      <c r="O393" s="11">
        <v>550</v>
      </c>
      <c r="P393" s="2" t="s">
        <v>592</v>
      </c>
      <c r="Q393" s="12" t="str">
        <f t="shared" si="82"/>
        <v>23</v>
      </c>
      <c r="R393" s="12" t="str">
        <f t="shared" si="83"/>
        <v>06</v>
      </c>
      <c r="S393" s="6" t="s">
        <v>129</v>
      </c>
      <c r="T393" s="1" t="s">
        <v>130</v>
      </c>
      <c r="U393" s="6" t="s">
        <v>148</v>
      </c>
      <c r="V393" s="1" t="s">
        <v>143</v>
      </c>
      <c r="W393" s="1" t="s">
        <v>133</v>
      </c>
      <c r="X393" s="5">
        <v>46218</v>
      </c>
      <c r="Y393" s="1">
        <f t="shared" si="84"/>
        <v>84</v>
      </c>
      <c r="Z393" s="5">
        <v>46218</v>
      </c>
      <c r="AA393" s="3"/>
      <c r="AB393" s="3"/>
      <c r="AD393" s="133" t="str">
        <f t="shared" si="87"/>
        <v>Closed In July</v>
      </c>
    </row>
    <row r="394" spans="1:30" hidden="1">
      <c r="A394" s="9">
        <v>46134</v>
      </c>
      <c r="B394" s="1">
        <v>2026</v>
      </c>
      <c r="C394" s="8" t="s">
        <v>26</v>
      </c>
      <c r="D394" s="11" t="s">
        <v>179</v>
      </c>
      <c r="E394" s="1"/>
      <c r="F394" s="1" t="s">
        <v>19</v>
      </c>
      <c r="G394" s="8" t="s">
        <v>180</v>
      </c>
      <c r="H394" s="8">
        <v>8248438488</v>
      </c>
      <c r="I394" s="10" t="s">
        <v>30</v>
      </c>
      <c r="J394" s="8" t="s">
        <v>181</v>
      </c>
      <c r="K394" s="8" t="s">
        <v>27</v>
      </c>
      <c r="L394" s="8" t="s">
        <v>28</v>
      </c>
      <c r="M394" s="2" t="s">
        <v>146</v>
      </c>
      <c r="N394" s="6" t="s">
        <v>138</v>
      </c>
      <c r="O394" s="11">
        <v>550</v>
      </c>
      <c r="P394" s="2" t="s">
        <v>593</v>
      </c>
      <c r="Q394" s="12" t="str">
        <f t="shared" si="82"/>
        <v>23</v>
      </c>
      <c r="R394" s="12" t="str">
        <f t="shared" si="83"/>
        <v>05</v>
      </c>
      <c r="S394" s="6" t="s">
        <v>129</v>
      </c>
      <c r="T394" s="1" t="s">
        <v>130</v>
      </c>
      <c r="U394" s="6" t="s">
        <v>148</v>
      </c>
      <c r="V394" s="1" t="s">
        <v>143</v>
      </c>
      <c r="W394" s="1" t="s">
        <v>133</v>
      </c>
      <c r="X394" s="5">
        <v>46218</v>
      </c>
      <c r="Y394" s="1">
        <f t="shared" si="84"/>
        <v>84</v>
      </c>
      <c r="Z394" s="5">
        <v>46218</v>
      </c>
      <c r="AA394" s="3"/>
      <c r="AB394" s="3"/>
      <c r="AD394" s="133" t="str">
        <f t="shared" si="87"/>
        <v>Closed In July</v>
      </c>
    </row>
    <row r="395" spans="1:30" hidden="1">
      <c r="A395" s="9">
        <v>46134</v>
      </c>
      <c r="B395" s="1">
        <v>2026</v>
      </c>
      <c r="C395" s="8" t="s">
        <v>26</v>
      </c>
      <c r="D395" s="11" t="s">
        <v>179</v>
      </c>
      <c r="E395" s="1"/>
      <c r="F395" s="1" t="s">
        <v>19</v>
      </c>
      <c r="G395" s="8" t="s">
        <v>180</v>
      </c>
      <c r="H395" s="8">
        <v>8248438488</v>
      </c>
      <c r="I395" s="10" t="s">
        <v>30</v>
      </c>
      <c r="J395" s="8" t="s">
        <v>181</v>
      </c>
      <c r="K395" s="8" t="s">
        <v>27</v>
      </c>
      <c r="L395" s="8" t="s">
        <v>28</v>
      </c>
      <c r="M395" s="2" t="s">
        <v>146</v>
      </c>
      <c r="N395" s="6" t="s">
        <v>138</v>
      </c>
      <c r="O395" s="11">
        <v>550</v>
      </c>
      <c r="P395" s="2" t="s">
        <v>594</v>
      </c>
      <c r="Q395" s="12" t="str">
        <f t="shared" si="82"/>
        <v>23</v>
      </c>
      <c r="R395" s="12" t="str">
        <f t="shared" si="83"/>
        <v>05</v>
      </c>
      <c r="S395" s="6" t="s">
        <v>129</v>
      </c>
      <c r="T395" s="1" t="s">
        <v>130</v>
      </c>
      <c r="U395" s="6" t="s">
        <v>148</v>
      </c>
      <c r="V395" s="1" t="s">
        <v>143</v>
      </c>
      <c r="W395" s="1" t="s">
        <v>133</v>
      </c>
      <c r="X395" s="5">
        <v>46218</v>
      </c>
      <c r="Y395" s="1">
        <f t="shared" si="84"/>
        <v>84</v>
      </c>
      <c r="Z395" s="5">
        <v>46218</v>
      </c>
      <c r="AA395" s="3"/>
      <c r="AB395" s="3"/>
      <c r="AD395" s="133" t="str">
        <f t="shared" si="87"/>
        <v>Closed In July</v>
      </c>
    </row>
    <row r="396" spans="1:30" hidden="1">
      <c r="A396" s="9">
        <v>46134</v>
      </c>
      <c r="B396" s="1">
        <v>2026</v>
      </c>
      <c r="C396" s="8" t="s">
        <v>26</v>
      </c>
      <c r="D396" s="11" t="s">
        <v>179</v>
      </c>
      <c r="E396" s="1"/>
      <c r="F396" s="1" t="s">
        <v>19</v>
      </c>
      <c r="G396" s="8" t="s">
        <v>180</v>
      </c>
      <c r="H396" s="8">
        <v>8248438488</v>
      </c>
      <c r="I396" s="10" t="s">
        <v>30</v>
      </c>
      <c r="J396" s="8" t="s">
        <v>181</v>
      </c>
      <c r="K396" s="8" t="s">
        <v>27</v>
      </c>
      <c r="L396" s="8" t="s">
        <v>28</v>
      </c>
      <c r="M396" s="2" t="s">
        <v>146</v>
      </c>
      <c r="N396" s="6" t="s">
        <v>138</v>
      </c>
      <c r="O396" s="11">
        <v>550</v>
      </c>
      <c r="P396" s="2" t="s">
        <v>595</v>
      </c>
      <c r="Q396" s="12" t="str">
        <f t="shared" si="82"/>
        <v>23</v>
      </c>
      <c r="R396" s="12" t="str">
        <f t="shared" si="83"/>
        <v>05</v>
      </c>
      <c r="S396" s="6" t="s">
        <v>129</v>
      </c>
      <c r="T396" s="1" t="s">
        <v>130</v>
      </c>
      <c r="U396" s="6" t="s">
        <v>148</v>
      </c>
      <c r="V396" s="1" t="s">
        <v>143</v>
      </c>
      <c r="W396" s="1" t="s">
        <v>133</v>
      </c>
      <c r="X396" s="5">
        <v>46218</v>
      </c>
      <c r="Y396" s="1">
        <f t="shared" si="84"/>
        <v>84</v>
      </c>
      <c r="Z396" s="5">
        <v>46218</v>
      </c>
      <c r="AA396" s="3"/>
      <c r="AB396" s="3"/>
      <c r="AD396" s="133" t="str">
        <f t="shared" si="87"/>
        <v>Closed In July</v>
      </c>
    </row>
    <row r="397" spans="1:30" hidden="1">
      <c r="A397" s="9">
        <v>46134</v>
      </c>
      <c r="B397" s="1">
        <v>2026</v>
      </c>
      <c r="C397" s="8" t="s">
        <v>26</v>
      </c>
      <c r="D397" s="11" t="s">
        <v>179</v>
      </c>
      <c r="E397" s="1"/>
      <c r="F397" s="1" t="s">
        <v>19</v>
      </c>
      <c r="G397" s="8" t="s">
        <v>180</v>
      </c>
      <c r="H397" s="8">
        <v>8248438488</v>
      </c>
      <c r="I397" s="10" t="s">
        <v>30</v>
      </c>
      <c r="J397" s="8" t="s">
        <v>181</v>
      </c>
      <c r="K397" s="8" t="s">
        <v>27</v>
      </c>
      <c r="L397" s="8" t="s">
        <v>28</v>
      </c>
      <c r="M397" s="2" t="s">
        <v>126</v>
      </c>
      <c r="N397" s="1" t="s">
        <v>127</v>
      </c>
      <c r="O397" s="11">
        <v>550</v>
      </c>
      <c r="P397" s="2" t="s">
        <v>596</v>
      </c>
      <c r="Q397" s="12" t="str">
        <f t="shared" si="82"/>
        <v>23</v>
      </c>
      <c r="R397" s="12" t="str">
        <f t="shared" si="83"/>
        <v>05</v>
      </c>
      <c r="S397" s="6" t="s">
        <v>129</v>
      </c>
      <c r="T397" s="1" t="s">
        <v>130</v>
      </c>
      <c r="U397" s="23" t="s">
        <v>597</v>
      </c>
      <c r="V397" s="6" t="s">
        <v>132</v>
      </c>
      <c r="W397" s="1" t="s">
        <v>133</v>
      </c>
      <c r="X397" s="5">
        <v>46218</v>
      </c>
      <c r="Y397" s="1">
        <f t="shared" si="84"/>
        <v>84</v>
      </c>
      <c r="Z397" s="5">
        <v>46218</v>
      </c>
      <c r="AA397" s="15"/>
      <c r="AB397" s="15"/>
      <c r="AD397" s="133" t="str">
        <f t="shared" si="87"/>
        <v>Closed In July</v>
      </c>
    </row>
    <row r="398" spans="1:30" hidden="1">
      <c r="A398" s="9">
        <v>46134</v>
      </c>
      <c r="B398" s="1">
        <v>2026</v>
      </c>
      <c r="C398" s="8" t="s">
        <v>26</v>
      </c>
      <c r="D398" s="11" t="s">
        <v>179</v>
      </c>
      <c r="E398" s="1"/>
      <c r="F398" s="1" t="s">
        <v>19</v>
      </c>
      <c r="G398" s="8" t="s">
        <v>180</v>
      </c>
      <c r="H398" s="8">
        <v>8248438488</v>
      </c>
      <c r="I398" s="10" t="s">
        <v>30</v>
      </c>
      <c r="J398" s="8" t="s">
        <v>181</v>
      </c>
      <c r="K398" s="8" t="s">
        <v>27</v>
      </c>
      <c r="L398" s="8" t="s">
        <v>28</v>
      </c>
      <c r="M398" s="2" t="s">
        <v>146</v>
      </c>
      <c r="N398" s="6" t="s">
        <v>138</v>
      </c>
      <c r="O398" s="11">
        <v>550</v>
      </c>
      <c r="P398" s="2" t="s">
        <v>598</v>
      </c>
      <c r="Q398" s="12" t="str">
        <f t="shared" si="82"/>
        <v>23</v>
      </c>
      <c r="R398" s="12" t="str">
        <f t="shared" si="83"/>
        <v>06</v>
      </c>
      <c r="S398" s="6" t="s">
        <v>129</v>
      </c>
      <c r="T398" s="1" t="s">
        <v>130</v>
      </c>
      <c r="U398" s="6" t="s">
        <v>148</v>
      </c>
      <c r="V398" s="1" t="s">
        <v>143</v>
      </c>
      <c r="W398" s="1" t="s">
        <v>133</v>
      </c>
      <c r="X398" s="5">
        <v>46218</v>
      </c>
      <c r="Y398" s="1">
        <f t="shared" si="84"/>
        <v>84</v>
      </c>
      <c r="Z398" s="5">
        <v>46218</v>
      </c>
      <c r="AA398" s="3"/>
      <c r="AB398" s="3"/>
      <c r="AD398" s="133" t="str">
        <f t="shared" si="87"/>
        <v>Closed In July</v>
      </c>
    </row>
    <row r="399" spans="1:30" hidden="1">
      <c r="A399" s="9">
        <v>46134</v>
      </c>
      <c r="B399" s="1">
        <v>2026</v>
      </c>
      <c r="C399" s="8" t="s">
        <v>26</v>
      </c>
      <c r="D399" s="11" t="s">
        <v>179</v>
      </c>
      <c r="E399" s="1"/>
      <c r="F399" s="1" t="s">
        <v>19</v>
      </c>
      <c r="G399" s="8" t="s">
        <v>180</v>
      </c>
      <c r="H399" s="8">
        <v>8248438488</v>
      </c>
      <c r="I399" s="10" t="s">
        <v>30</v>
      </c>
      <c r="J399" s="8" t="s">
        <v>181</v>
      </c>
      <c r="K399" s="8" t="s">
        <v>27</v>
      </c>
      <c r="L399" s="8" t="s">
        <v>28</v>
      </c>
      <c r="M399" s="2" t="s">
        <v>146</v>
      </c>
      <c r="N399" s="6" t="s">
        <v>138</v>
      </c>
      <c r="O399" s="11">
        <v>550</v>
      </c>
      <c r="P399" s="2" t="s">
        <v>599</v>
      </c>
      <c r="Q399" s="12" t="str">
        <f t="shared" si="82"/>
        <v>23</v>
      </c>
      <c r="R399" s="12" t="str">
        <f t="shared" si="83"/>
        <v>05</v>
      </c>
      <c r="S399" s="6" t="s">
        <v>129</v>
      </c>
      <c r="T399" s="1" t="s">
        <v>130</v>
      </c>
      <c r="U399" s="6" t="s">
        <v>148</v>
      </c>
      <c r="V399" s="1" t="s">
        <v>143</v>
      </c>
      <c r="W399" s="1" t="s">
        <v>133</v>
      </c>
      <c r="X399" s="5">
        <v>46218</v>
      </c>
      <c r="Y399" s="1">
        <f t="shared" si="84"/>
        <v>84</v>
      </c>
      <c r="Z399" s="5">
        <v>46218</v>
      </c>
      <c r="AA399" s="3"/>
      <c r="AB399" s="3"/>
      <c r="AD399" s="133" t="str">
        <f t="shared" si="87"/>
        <v>Closed In July</v>
      </c>
    </row>
    <row r="400" spans="1:30" hidden="1">
      <c r="A400" s="9">
        <v>46134</v>
      </c>
      <c r="B400" s="1">
        <v>2026</v>
      </c>
      <c r="C400" s="8" t="s">
        <v>26</v>
      </c>
      <c r="D400" s="11" t="s">
        <v>179</v>
      </c>
      <c r="E400" s="1"/>
      <c r="F400" s="1" t="s">
        <v>19</v>
      </c>
      <c r="G400" s="8" t="s">
        <v>180</v>
      </c>
      <c r="H400" s="8">
        <v>8248438488</v>
      </c>
      <c r="I400" s="10" t="s">
        <v>30</v>
      </c>
      <c r="J400" s="8" t="s">
        <v>181</v>
      </c>
      <c r="K400" s="8" t="s">
        <v>27</v>
      </c>
      <c r="L400" s="8" t="s">
        <v>28</v>
      </c>
      <c r="M400" s="2" t="s">
        <v>146</v>
      </c>
      <c r="N400" s="6" t="s">
        <v>138</v>
      </c>
      <c r="O400" s="11">
        <v>550</v>
      </c>
      <c r="P400" s="2" t="s">
        <v>600</v>
      </c>
      <c r="Q400" s="12" t="str">
        <f t="shared" si="82"/>
        <v>23</v>
      </c>
      <c r="R400" s="12" t="str">
        <f t="shared" si="83"/>
        <v>05</v>
      </c>
      <c r="S400" s="6" t="s">
        <v>129</v>
      </c>
      <c r="T400" s="1" t="s">
        <v>130</v>
      </c>
      <c r="U400" s="6" t="s">
        <v>148</v>
      </c>
      <c r="V400" s="1" t="s">
        <v>143</v>
      </c>
      <c r="W400" s="1" t="s">
        <v>133</v>
      </c>
      <c r="X400" s="5">
        <v>46218</v>
      </c>
      <c r="Y400" s="1">
        <f t="shared" si="84"/>
        <v>84</v>
      </c>
      <c r="Z400" s="5">
        <v>46218</v>
      </c>
      <c r="AA400" s="3"/>
      <c r="AB400" s="3"/>
      <c r="AD400" s="133" t="str">
        <f t="shared" si="87"/>
        <v>Closed In July</v>
      </c>
    </row>
    <row r="401" spans="1:30" hidden="1">
      <c r="A401" s="9">
        <v>46134</v>
      </c>
      <c r="B401" s="1">
        <v>2026</v>
      </c>
      <c r="C401" s="8" t="s">
        <v>26</v>
      </c>
      <c r="D401" s="11" t="s">
        <v>179</v>
      </c>
      <c r="E401" s="1"/>
      <c r="F401" s="1" t="s">
        <v>19</v>
      </c>
      <c r="G401" s="8" t="s">
        <v>180</v>
      </c>
      <c r="H401" s="8">
        <v>8248438488</v>
      </c>
      <c r="I401" s="10" t="s">
        <v>30</v>
      </c>
      <c r="J401" s="8" t="s">
        <v>181</v>
      </c>
      <c r="K401" s="8" t="s">
        <v>27</v>
      </c>
      <c r="L401" s="8" t="s">
        <v>28</v>
      </c>
      <c r="M401" s="2" t="s">
        <v>146</v>
      </c>
      <c r="N401" s="6" t="s">
        <v>138</v>
      </c>
      <c r="O401" s="11">
        <v>550</v>
      </c>
      <c r="P401" s="2" t="s">
        <v>601</v>
      </c>
      <c r="Q401" s="12" t="str">
        <f t="shared" si="82"/>
        <v>23</v>
      </c>
      <c r="R401" s="12" t="str">
        <f t="shared" si="83"/>
        <v>06</v>
      </c>
      <c r="S401" s="6" t="s">
        <v>129</v>
      </c>
      <c r="T401" s="1" t="s">
        <v>130</v>
      </c>
      <c r="U401" s="6" t="s">
        <v>148</v>
      </c>
      <c r="V401" s="1" t="s">
        <v>143</v>
      </c>
      <c r="W401" s="1" t="s">
        <v>133</v>
      </c>
      <c r="X401" s="5">
        <v>46218</v>
      </c>
      <c r="Y401" s="1">
        <f t="shared" si="84"/>
        <v>84</v>
      </c>
      <c r="Z401" s="5">
        <v>46218</v>
      </c>
      <c r="AA401" s="3"/>
      <c r="AB401" s="3"/>
      <c r="AD401" s="133" t="str">
        <f t="shared" si="87"/>
        <v>Closed In July</v>
      </c>
    </row>
    <row r="402" spans="1:30" hidden="1">
      <c r="A402" s="9">
        <v>46134</v>
      </c>
      <c r="B402" s="1">
        <v>2026</v>
      </c>
      <c r="C402" s="8" t="s">
        <v>26</v>
      </c>
      <c r="D402" s="11" t="s">
        <v>179</v>
      </c>
      <c r="E402" s="1"/>
      <c r="F402" s="1" t="s">
        <v>19</v>
      </c>
      <c r="G402" s="8" t="s">
        <v>180</v>
      </c>
      <c r="H402" s="8">
        <v>8248438488</v>
      </c>
      <c r="I402" s="10" t="s">
        <v>30</v>
      </c>
      <c r="J402" s="8" t="s">
        <v>181</v>
      </c>
      <c r="K402" s="8" t="s">
        <v>27</v>
      </c>
      <c r="L402" s="8" t="s">
        <v>28</v>
      </c>
      <c r="M402" s="2" t="s">
        <v>146</v>
      </c>
      <c r="N402" s="6" t="s">
        <v>138</v>
      </c>
      <c r="O402" s="11">
        <v>550</v>
      </c>
      <c r="P402" s="2" t="s">
        <v>602</v>
      </c>
      <c r="Q402" s="12" t="str">
        <f t="shared" si="82"/>
        <v>23</v>
      </c>
      <c r="R402" s="12" t="str">
        <f t="shared" si="83"/>
        <v>05</v>
      </c>
      <c r="S402" s="6" t="s">
        <v>129</v>
      </c>
      <c r="T402" s="1" t="s">
        <v>130</v>
      </c>
      <c r="U402" s="6" t="s">
        <v>148</v>
      </c>
      <c r="V402" s="1" t="s">
        <v>143</v>
      </c>
      <c r="W402" s="1" t="s">
        <v>133</v>
      </c>
      <c r="X402" s="5">
        <v>46218</v>
      </c>
      <c r="Y402" s="1">
        <f t="shared" si="84"/>
        <v>84</v>
      </c>
      <c r="Z402" s="5">
        <v>46218</v>
      </c>
      <c r="AA402" s="3"/>
      <c r="AB402" s="3"/>
      <c r="AD402" s="133" t="str">
        <f t="shared" si="87"/>
        <v>Closed In July</v>
      </c>
    </row>
    <row r="403" spans="1:30" hidden="1">
      <c r="A403" s="9">
        <v>46134</v>
      </c>
      <c r="B403" s="1">
        <v>2026</v>
      </c>
      <c r="C403" s="8" t="s">
        <v>26</v>
      </c>
      <c r="D403" s="11" t="s">
        <v>179</v>
      </c>
      <c r="E403" s="1"/>
      <c r="F403" s="1" t="s">
        <v>19</v>
      </c>
      <c r="G403" s="8" t="s">
        <v>180</v>
      </c>
      <c r="H403" s="8">
        <v>8248438488</v>
      </c>
      <c r="I403" s="10" t="s">
        <v>30</v>
      </c>
      <c r="J403" s="8" t="s">
        <v>181</v>
      </c>
      <c r="K403" s="8" t="s">
        <v>27</v>
      </c>
      <c r="L403" s="8" t="s">
        <v>28</v>
      </c>
      <c r="M403" s="2" t="s">
        <v>146</v>
      </c>
      <c r="N403" s="6" t="s">
        <v>138</v>
      </c>
      <c r="O403" s="11">
        <v>550</v>
      </c>
      <c r="P403" s="2" t="s">
        <v>603</v>
      </c>
      <c r="Q403" s="12" t="str">
        <f t="shared" si="82"/>
        <v>23</v>
      </c>
      <c r="R403" s="12" t="str">
        <f t="shared" si="83"/>
        <v>05</v>
      </c>
      <c r="S403" s="6" t="s">
        <v>129</v>
      </c>
      <c r="T403" s="1" t="s">
        <v>130</v>
      </c>
      <c r="U403" s="6" t="s">
        <v>148</v>
      </c>
      <c r="V403" s="1" t="s">
        <v>143</v>
      </c>
      <c r="W403" s="1" t="s">
        <v>133</v>
      </c>
      <c r="X403" s="5">
        <v>46218</v>
      </c>
      <c r="Y403" s="1">
        <f t="shared" si="84"/>
        <v>84</v>
      </c>
      <c r="Z403" s="5">
        <v>46218</v>
      </c>
      <c r="AA403" s="3"/>
      <c r="AB403" s="3"/>
      <c r="AD403" s="133" t="str">
        <f t="shared" si="87"/>
        <v>Closed In July</v>
      </c>
    </row>
    <row r="404" spans="1:30" hidden="1">
      <c r="A404" s="9">
        <v>46134</v>
      </c>
      <c r="B404" s="1">
        <v>2026</v>
      </c>
      <c r="C404" s="8" t="s">
        <v>26</v>
      </c>
      <c r="D404" s="11" t="s">
        <v>179</v>
      </c>
      <c r="E404" s="1"/>
      <c r="F404" s="1" t="s">
        <v>19</v>
      </c>
      <c r="G404" s="8" t="s">
        <v>180</v>
      </c>
      <c r="H404" s="8">
        <v>8248438488</v>
      </c>
      <c r="I404" s="10" t="s">
        <v>30</v>
      </c>
      <c r="J404" s="8" t="s">
        <v>181</v>
      </c>
      <c r="K404" s="8" t="s">
        <v>27</v>
      </c>
      <c r="L404" s="8" t="s">
        <v>28</v>
      </c>
      <c r="M404" s="2" t="s">
        <v>146</v>
      </c>
      <c r="N404" s="6" t="s">
        <v>138</v>
      </c>
      <c r="O404" s="11">
        <v>550</v>
      </c>
      <c r="P404" s="2" t="s">
        <v>604</v>
      </c>
      <c r="Q404" s="12" t="str">
        <f t="shared" si="82"/>
        <v>23</v>
      </c>
      <c r="R404" s="12" t="str">
        <f t="shared" si="83"/>
        <v>05</v>
      </c>
      <c r="S404" s="6" t="s">
        <v>129</v>
      </c>
      <c r="T404" s="1" t="s">
        <v>130</v>
      </c>
      <c r="U404" s="6" t="s">
        <v>148</v>
      </c>
      <c r="V404" s="1" t="s">
        <v>143</v>
      </c>
      <c r="W404" s="1" t="s">
        <v>133</v>
      </c>
      <c r="X404" s="5">
        <v>46218</v>
      </c>
      <c r="Y404" s="1">
        <f t="shared" si="84"/>
        <v>84</v>
      </c>
      <c r="Z404" s="5">
        <v>46218</v>
      </c>
      <c r="AA404" s="3"/>
      <c r="AB404" s="3"/>
      <c r="AD404" s="133" t="str">
        <f t="shared" si="87"/>
        <v>Closed In July</v>
      </c>
    </row>
    <row r="405" spans="1:30" hidden="1">
      <c r="A405" s="9">
        <v>46134</v>
      </c>
      <c r="B405" s="1">
        <v>2026</v>
      </c>
      <c r="C405" s="8" t="s">
        <v>26</v>
      </c>
      <c r="D405" s="11" t="s">
        <v>179</v>
      </c>
      <c r="E405" s="1"/>
      <c r="F405" s="1" t="s">
        <v>19</v>
      </c>
      <c r="G405" s="8" t="s">
        <v>180</v>
      </c>
      <c r="H405" s="8">
        <v>8248438488</v>
      </c>
      <c r="I405" s="10" t="s">
        <v>30</v>
      </c>
      <c r="J405" s="8" t="s">
        <v>181</v>
      </c>
      <c r="K405" s="8" t="s">
        <v>27</v>
      </c>
      <c r="L405" s="8" t="s">
        <v>28</v>
      </c>
      <c r="M405" s="2" t="s">
        <v>146</v>
      </c>
      <c r="N405" s="6" t="s">
        <v>138</v>
      </c>
      <c r="O405" s="11">
        <v>550</v>
      </c>
      <c r="P405" s="2" t="s">
        <v>605</v>
      </c>
      <c r="Q405" s="12" t="str">
        <f t="shared" si="82"/>
        <v>23</v>
      </c>
      <c r="R405" s="12" t="str">
        <f t="shared" si="83"/>
        <v>06</v>
      </c>
      <c r="S405" s="6" t="s">
        <v>129</v>
      </c>
      <c r="T405" s="1" t="s">
        <v>130</v>
      </c>
      <c r="U405" s="6" t="s">
        <v>148</v>
      </c>
      <c r="V405" s="1" t="s">
        <v>143</v>
      </c>
      <c r="W405" s="1" t="s">
        <v>133</v>
      </c>
      <c r="X405" s="5">
        <v>46218</v>
      </c>
      <c r="Y405" s="1">
        <f t="shared" si="84"/>
        <v>84</v>
      </c>
      <c r="Z405" s="5">
        <v>46218</v>
      </c>
      <c r="AA405" s="3"/>
      <c r="AB405" s="3"/>
      <c r="AD405" s="133" t="str">
        <f t="shared" si="87"/>
        <v>Closed In July</v>
      </c>
    </row>
    <row r="406" spans="1:30" hidden="1">
      <c r="A406" s="9">
        <v>46134</v>
      </c>
      <c r="B406" s="1">
        <v>2026</v>
      </c>
      <c r="C406" s="8" t="s">
        <v>26</v>
      </c>
      <c r="D406" s="11" t="s">
        <v>179</v>
      </c>
      <c r="E406" s="1"/>
      <c r="F406" s="1" t="s">
        <v>19</v>
      </c>
      <c r="G406" s="8" t="s">
        <v>180</v>
      </c>
      <c r="H406" s="8">
        <v>8248438488</v>
      </c>
      <c r="I406" s="10" t="s">
        <v>30</v>
      </c>
      <c r="J406" s="8" t="s">
        <v>181</v>
      </c>
      <c r="K406" s="8" t="s">
        <v>27</v>
      </c>
      <c r="L406" s="8" t="s">
        <v>28</v>
      </c>
      <c r="M406" s="2" t="s">
        <v>146</v>
      </c>
      <c r="N406" s="6" t="s">
        <v>138</v>
      </c>
      <c r="O406" s="11">
        <v>550</v>
      </c>
      <c r="P406" s="2" t="s">
        <v>606</v>
      </c>
      <c r="Q406" s="12" t="str">
        <f t="shared" si="82"/>
        <v>23</v>
      </c>
      <c r="R406" s="12" t="str">
        <f t="shared" si="83"/>
        <v>05</v>
      </c>
      <c r="S406" s="6" t="s">
        <v>129</v>
      </c>
      <c r="T406" s="1" t="s">
        <v>130</v>
      </c>
      <c r="U406" s="6" t="s">
        <v>148</v>
      </c>
      <c r="V406" s="1" t="s">
        <v>143</v>
      </c>
      <c r="W406" s="1" t="s">
        <v>133</v>
      </c>
      <c r="X406" s="5">
        <v>46218</v>
      </c>
      <c r="Y406" s="1">
        <f t="shared" si="84"/>
        <v>84</v>
      </c>
      <c r="Z406" s="5">
        <v>46218</v>
      </c>
      <c r="AA406" s="3"/>
      <c r="AB406" s="3"/>
      <c r="AD406" s="133" t="str">
        <f t="shared" si="87"/>
        <v>Closed In July</v>
      </c>
    </row>
    <row r="407" spans="1:30" hidden="1">
      <c r="A407" s="9">
        <v>46134</v>
      </c>
      <c r="B407" s="1">
        <v>2026</v>
      </c>
      <c r="C407" s="8" t="s">
        <v>26</v>
      </c>
      <c r="D407" s="11" t="s">
        <v>179</v>
      </c>
      <c r="E407" s="1"/>
      <c r="F407" s="1" t="s">
        <v>19</v>
      </c>
      <c r="G407" s="8" t="s">
        <v>180</v>
      </c>
      <c r="H407" s="8">
        <v>8248438488</v>
      </c>
      <c r="I407" s="10" t="s">
        <v>30</v>
      </c>
      <c r="J407" s="8" t="s">
        <v>181</v>
      </c>
      <c r="K407" s="8" t="s">
        <v>27</v>
      </c>
      <c r="L407" s="8" t="s">
        <v>28</v>
      </c>
      <c r="M407" s="2" t="s">
        <v>146</v>
      </c>
      <c r="N407" s="6" t="s">
        <v>138</v>
      </c>
      <c r="O407" s="11">
        <v>550</v>
      </c>
      <c r="P407" s="2" t="s">
        <v>607</v>
      </c>
      <c r="Q407" s="12" t="str">
        <f t="shared" si="82"/>
        <v>23</v>
      </c>
      <c r="R407" s="12" t="str">
        <f t="shared" si="83"/>
        <v>05</v>
      </c>
      <c r="S407" s="6" t="s">
        <v>129</v>
      </c>
      <c r="T407" s="1" t="s">
        <v>130</v>
      </c>
      <c r="U407" s="6" t="s">
        <v>148</v>
      </c>
      <c r="V407" s="1" t="s">
        <v>143</v>
      </c>
      <c r="W407" s="1" t="s">
        <v>133</v>
      </c>
      <c r="X407" s="5">
        <v>46218</v>
      </c>
      <c r="Y407" s="1">
        <f t="shared" si="84"/>
        <v>84</v>
      </c>
      <c r="Z407" s="5">
        <v>46218</v>
      </c>
      <c r="AA407" s="3"/>
      <c r="AB407" s="3"/>
      <c r="AD407" s="133" t="str">
        <f t="shared" si="87"/>
        <v>Closed In July</v>
      </c>
    </row>
    <row r="408" spans="1:30" hidden="1">
      <c r="A408" s="9">
        <v>46134</v>
      </c>
      <c r="B408" s="1">
        <v>2026</v>
      </c>
      <c r="C408" s="8" t="s">
        <v>26</v>
      </c>
      <c r="D408" s="11" t="s">
        <v>179</v>
      </c>
      <c r="E408" s="1"/>
      <c r="F408" s="1" t="s">
        <v>19</v>
      </c>
      <c r="G408" s="8" t="s">
        <v>180</v>
      </c>
      <c r="H408" s="8">
        <v>8248438488</v>
      </c>
      <c r="I408" s="10" t="s">
        <v>30</v>
      </c>
      <c r="J408" s="8" t="s">
        <v>181</v>
      </c>
      <c r="K408" s="8" t="s">
        <v>27</v>
      </c>
      <c r="L408" s="8" t="s">
        <v>28</v>
      </c>
      <c r="M408" s="2" t="s">
        <v>146</v>
      </c>
      <c r="N408" s="6" t="s">
        <v>138</v>
      </c>
      <c r="O408" s="11">
        <v>550</v>
      </c>
      <c r="P408" s="2" t="s">
        <v>608</v>
      </c>
      <c r="Q408" s="12" t="str">
        <f t="shared" si="82"/>
        <v>23</v>
      </c>
      <c r="R408" s="12" t="str">
        <f t="shared" si="83"/>
        <v>05</v>
      </c>
      <c r="S408" s="6" t="s">
        <v>129</v>
      </c>
      <c r="T408" s="1" t="s">
        <v>130</v>
      </c>
      <c r="U408" s="6" t="s">
        <v>148</v>
      </c>
      <c r="V408" s="1" t="s">
        <v>143</v>
      </c>
      <c r="W408" s="1" t="s">
        <v>133</v>
      </c>
      <c r="X408" s="5">
        <v>46218</v>
      </c>
      <c r="Y408" s="1">
        <f t="shared" si="84"/>
        <v>84</v>
      </c>
      <c r="Z408" s="5">
        <v>46218</v>
      </c>
      <c r="AA408" s="3"/>
      <c r="AB408" s="3"/>
      <c r="AD408" s="133" t="str">
        <f t="shared" si="87"/>
        <v>Closed In July</v>
      </c>
    </row>
    <row r="409" spans="1:30" hidden="1">
      <c r="A409" s="9">
        <v>46134</v>
      </c>
      <c r="B409" s="1">
        <v>2026</v>
      </c>
      <c r="C409" s="8" t="s">
        <v>26</v>
      </c>
      <c r="D409" s="11" t="s">
        <v>179</v>
      </c>
      <c r="E409" s="1"/>
      <c r="F409" s="1" t="s">
        <v>19</v>
      </c>
      <c r="G409" s="8" t="s">
        <v>180</v>
      </c>
      <c r="H409" s="8">
        <v>8248438488</v>
      </c>
      <c r="I409" s="10" t="s">
        <v>30</v>
      </c>
      <c r="J409" s="8" t="s">
        <v>181</v>
      </c>
      <c r="K409" s="8" t="s">
        <v>27</v>
      </c>
      <c r="L409" s="8" t="s">
        <v>28</v>
      </c>
      <c r="M409" s="2" t="s">
        <v>146</v>
      </c>
      <c r="N409" s="6" t="s">
        <v>138</v>
      </c>
      <c r="O409" s="11">
        <v>550</v>
      </c>
      <c r="P409" s="2" t="s">
        <v>609</v>
      </c>
      <c r="Q409" s="12" t="str">
        <f t="shared" si="82"/>
        <v>23</v>
      </c>
      <c r="R409" s="12" t="str">
        <f t="shared" si="83"/>
        <v>05</v>
      </c>
      <c r="S409" s="6" t="s">
        <v>129</v>
      </c>
      <c r="T409" s="1" t="s">
        <v>130</v>
      </c>
      <c r="U409" s="6" t="s">
        <v>148</v>
      </c>
      <c r="V409" s="1" t="s">
        <v>143</v>
      </c>
      <c r="W409" s="1" t="s">
        <v>133</v>
      </c>
      <c r="X409" s="5">
        <v>46218</v>
      </c>
      <c r="Y409" s="1">
        <f t="shared" si="84"/>
        <v>84</v>
      </c>
      <c r="Z409" s="5">
        <v>46218</v>
      </c>
      <c r="AA409" s="3"/>
      <c r="AB409" s="3"/>
      <c r="AD409" s="133" t="str">
        <f t="shared" si="87"/>
        <v>Closed In July</v>
      </c>
    </row>
    <row r="410" spans="1:30" hidden="1">
      <c r="A410" s="9">
        <v>46134</v>
      </c>
      <c r="B410" s="1">
        <v>2026</v>
      </c>
      <c r="C410" s="8" t="s">
        <v>26</v>
      </c>
      <c r="D410" s="11" t="s">
        <v>179</v>
      </c>
      <c r="E410" s="1"/>
      <c r="F410" s="1" t="s">
        <v>19</v>
      </c>
      <c r="G410" s="8" t="s">
        <v>180</v>
      </c>
      <c r="H410" s="8">
        <v>8248438488</v>
      </c>
      <c r="I410" s="10" t="s">
        <v>30</v>
      </c>
      <c r="J410" s="8" t="s">
        <v>181</v>
      </c>
      <c r="K410" s="8" t="s">
        <v>27</v>
      </c>
      <c r="L410" s="8" t="s">
        <v>28</v>
      </c>
      <c r="M410" s="2" t="s">
        <v>152</v>
      </c>
      <c r="N410" s="6" t="s">
        <v>138</v>
      </c>
      <c r="O410" s="11">
        <v>550</v>
      </c>
      <c r="P410" s="2" t="s">
        <v>610</v>
      </c>
      <c r="Q410" s="12" t="str">
        <f t="shared" si="82"/>
        <v>23</v>
      </c>
      <c r="R410" s="12" t="str">
        <f t="shared" si="83"/>
        <v>06</v>
      </c>
      <c r="S410" s="6" t="s">
        <v>129</v>
      </c>
      <c r="T410" s="1" t="s">
        <v>130</v>
      </c>
      <c r="U410" s="6" t="s">
        <v>154</v>
      </c>
      <c r="V410" s="1" t="s">
        <v>143</v>
      </c>
      <c r="W410" s="1" t="s">
        <v>133</v>
      </c>
      <c r="X410" s="5">
        <v>46218</v>
      </c>
      <c r="Y410" s="1">
        <f t="shared" si="84"/>
        <v>84</v>
      </c>
      <c r="Z410" s="5">
        <v>46218</v>
      </c>
      <c r="AA410" s="3"/>
      <c r="AB410" s="3"/>
      <c r="AD410" s="133" t="str">
        <f t="shared" si="87"/>
        <v>Closed In July</v>
      </c>
    </row>
    <row r="411" spans="1:30" hidden="1">
      <c r="A411" s="9">
        <v>46134</v>
      </c>
      <c r="B411" s="1">
        <v>2026</v>
      </c>
      <c r="C411" s="8" t="s">
        <v>26</v>
      </c>
      <c r="D411" s="11" t="s">
        <v>179</v>
      </c>
      <c r="E411" s="1"/>
      <c r="F411" s="1" t="s">
        <v>19</v>
      </c>
      <c r="G411" s="8" t="s">
        <v>180</v>
      </c>
      <c r="H411" s="8">
        <v>8248438488</v>
      </c>
      <c r="I411" s="10" t="s">
        <v>30</v>
      </c>
      <c r="J411" s="8" t="s">
        <v>181</v>
      </c>
      <c r="K411" s="8" t="s">
        <v>27</v>
      </c>
      <c r="L411" s="8" t="s">
        <v>28</v>
      </c>
      <c r="M411" s="2" t="s">
        <v>146</v>
      </c>
      <c r="N411" s="6" t="s">
        <v>138</v>
      </c>
      <c r="O411" s="11">
        <v>550</v>
      </c>
      <c r="P411" s="2" t="s">
        <v>611</v>
      </c>
      <c r="Q411" s="12" t="str">
        <f t="shared" si="82"/>
        <v>23</v>
      </c>
      <c r="R411" s="12" t="str">
        <f t="shared" si="83"/>
        <v>05</v>
      </c>
      <c r="S411" s="6" t="s">
        <v>129</v>
      </c>
      <c r="T411" s="1" t="s">
        <v>130</v>
      </c>
      <c r="U411" s="6" t="s">
        <v>148</v>
      </c>
      <c r="V411" s="1" t="s">
        <v>143</v>
      </c>
      <c r="W411" s="1" t="s">
        <v>133</v>
      </c>
      <c r="X411" s="5">
        <v>46218</v>
      </c>
      <c r="Y411" s="1">
        <f t="shared" si="84"/>
        <v>84</v>
      </c>
      <c r="Z411" s="5">
        <v>46218</v>
      </c>
      <c r="AA411" s="3"/>
      <c r="AB411" s="3"/>
      <c r="AD411" s="133" t="str">
        <f t="shared" si="87"/>
        <v>Closed In July</v>
      </c>
    </row>
    <row r="412" spans="1:30" hidden="1">
      <c r="A412" s="9">
        <v>46134</v>
      </c>
      <c r="B412" s="1">
        <v>2026</v>
      </c>
      <c r="C412" s="8" t="s">
        <v>26</v>
      </c>
      <c r="D412" s="11" t="s">
        <v>179</v>
      </c>
      <c r="E412" s="1"/>
      <c r="F412" s="1" t="s">
        <v>19</v>
      </c>
      <c r="G412" s="8" t="s">
        <v>180</v>
      </c>
      <c r="H412" s="8">
        <v>8248438488</v>
      </c>
      <c r="I412" s="10" t="s">
        <v>30</v>
      </c>
      <c r="J412" s="8" t="s">
        <v>181</v>
      </c>
      <c r="K412" s="8" t="s">
        <v>27</v>
      </c>
      <c r="L412" s="8" t="s">
        <v>28</v>
      </c>
      <c r="M412" s="2" t="s">
        <v>146</v>
      </c>
      <c r="N412" s="6" t="s">
        <v>138</v>
      </c>
      <c r="O412" s="11">
        <v>550</v>
      </c>
      <c r="P412" s="2" t="s">
        <v>612</v>
      </c>
      <c r="Q412" s="12" t="str">
        <f t="shared" si="82"/>
        <v>23</v>
      </c>
      <c r="R412" s="12" t="str">
        <f t="shared" si="83"/>
        <v>07</v>
      </c>
      <c r="S412" s="6" t="s">
        <v>129</v>
      </c>
      <c r="T412" s="1" t="s">
        <v>130</v>
      </c>
      <c r="U412" s="6" t="s">
        <v>148</v>
      </c>
      <c r="V412" s="1" t="s">
        <v>143</v>
      </c>
      <c r="W412" s="1" t="s">
        <v>133</v>
      </c>
      <c r="X412" s="5">
        <v>46218</v>
      </c>
      <c r="Y412" s="1">
        <f t="shared" si="84"/>
        <v>84</v>
      </c>
      <c r="Z412" s="5">
        <v>46218</v>
      </c>
      <c r="AA412" s="3"/>
      <c r="AB412" s="3"/>
      <c r="AD412" s="133" t="str">
        <f t="shared" si="87"/>
        <v>Closed In July</v>
      </c>
    </row>
    <row r="413" spans="1:30" hidden="1">
      <c r="A413" s="9">
        <v>46134</v>
      </c>
      <c r="B413" s="1">
        <v>2026</v>
      </c>
      <c r="C413" s="8" t="s">
        <v>26</v>
      </c>
      <c r="D413" s="11" t="s">
        <v>179</v>
      </c>
      <c r="E413" s="1"/>
      <c r="F413" s="1" t="s">
        <v>19</v>
      </c>
      <c r="G413" s="8" t="s">
        <v>180</v>
      </c>
      <c r="H413" s="8">
        <v>8248438488</v>
      </c>
      <c r="I413" s="10" t="s">
        <v>30</v>
      </c>
      <c r="J413" s="8" t="s">
        <v>181</v>
      </c>
      <c r="K413" s="8" t="s">
        <v>27</v>
      </c>
      <c r="L413" s="8" t="s">
        <v>28</v>
      </c>
      <c r="M413" s="2" t="s">
        <v>146</v>
      </c>
      <c r="N413" s="6" t="s">
        <v>138</v>
      </c>
      <c r="O413" s="11">
        <v>550</v>
      </c>
      <c r="P413" s="2" t="s">
        <v>613</v>
      </c>
      <c r="Q413" s="12" t="str">
        <f t="shared" si="82"/>
        <v>23</v>
      </c>
      <c r="R413" s="12" t="str">
        <f t="shared" si="83"/>
        <v>05</v>
      </c>
      <c r="S413" s="6" t="s">
        <v>129</v>
      </c>
      <c r="T413" s="1" t="s">
        <v>130</v>
      </c>
      <c r="U413" s="6" t="s">
        <v>148</v>
      </c>
      <c r="V413" s="1" t="s">
        <v>143</v>
      </c>
      <c r="W413" s="1" t="s">
        <v>133</v>
      </c>
      <c r="X413" s="5">
        <v>46218</v>
      </c>
      <c r="Y413" s="1">
        <f t="shared" si="84"/>
        <v>84</v>
      </c>
      <c r="Z413" s="5">
        <v>46218</v>
      </c>
      <c r="AA413" s="3"/>
      <c r="AB413" s="3"/>
      <c r="AD413" s="133" t="str">
        <f t="shared" si="87"/>
        <v>Closed In July</v>
      </c>
    </row>
    <row r="414" spans="1:30" hidden="1">
      <c r="A414" s="9">
        <v>46134</v>
      </c>
      <c r="B414" s="1">
        <v>2026</v>
      </c>
      <c r="C414" s="8" t="s">
        <v>26</v>
      </c>
      <c r="D414" s="11" t="s">
        <v>179</v>
      </c>
      <c r="E414" s="1"/>
      <c r="F414" s="1" t="s">
        <v>19</v>
      </c>
      <c r="G414" s="8" t="s">
        <v>180</v>
      </c>
      <c r="H414" s="8">
        <v>8248438488</v>
      </c>
      <c r="I414" s="10" t="s">
        <v>30</v>
      </c>
      <c r="J414" s="8" t="s">
        <v>181</v>
      </c>
      <c r="K414" s="8" t="s">
        <v>27</v>
      </c>
      <c r="L414" s="8" t="s">
        <v>28</v>
      </c>
      <c r="M414" s="2" t="s">
        <v>308</v>
      </c>
      <c r="N414" s="1" t="s">
        <v>127</v>
      </c>
      <c r="O414" s="11">
        <v>550</v>
      </c>
      <c r="P414" s="2" t="s">
        <v>614</v>
      </c>
      <c r="Q414" s="12" t="str">
        <f t="shared" si="82"/>
        <v>23</v>
      </c>
      <c r="R414" s="12" t="str">
        <f t="shared" si="83"/>
        <v>05</v>
      </c>
      <c r="S414" s="6" t="s">
        <v>129</v>
      </c>
      <c r="T414" s="1" t="s">
        <v>130</v>
      </c>
      <c r="U414" s="6" t="s">
        <v>310</v>
      </c>
      <c r="V414" s="6" t="s">
        <v>132</v>
      </c>
      <c r="W414" s="1" t="s">
        <v>133</v>
      </c>
      <c r="X414" s="5">
        <v>46218</v>
      </c>
      <c r="Y414" s="1">
        <f t="shared" si="84"/>
        <v>84</v>
      </c>
      <c r="Z414" s="5">
        <v>46218</v>
      </c>
      <c r="AA414" s="15"/>
      <c r="AB414" s="15"/>
      <c r="AD414" s="133" t="str">
        <f t="shared" si="87"/>
        <v>Closed In July</v>
      </c>
    </row>
    <row r="415" spans="1:30" hidden="1">
      <c r="A415" s="9">
        <v>46134</v>
      </c>
      <c r="B415" s="1">
        <v>2026</v>
      </c>
      <c r="C415" s="8" t="s">
        <v>26</v>
      </c>
      <c r="D415" s="11" t="s">
        <v>179</v>
      </c>
      <c r="E415" s="1"/>
      <c r="F415" s="1" t="s">
        <v>19</v>
      </c>
      <c r="G415" s="8" t="s">
        <v>180</v>
      </c>
      <c r="H415" s="8">
        <v>8248438488</v>
      </c>
      <c r="I415" s="10" t="s">
        <v>30</v>
      </c>
      <c r="J415" s="8" t="s">
        <v>181</v>
      </c>
      <c r="K415" s="8" t="s">
        <v>27</v>
      </c>
      <c r="L415" s="8" t="s">
        <v>28</v>
      </c>
      <c r="M415" s="2" t="s">
        <v>146</v>
      </c>
      <c r="N415" s="6" t="s">
        <v>138</v>
      </c>
      <c r="O415" s="11">
        <v>550</v>
      </c>
      <c r="P415" s="2" t="s">
        <v>615</v>
      </c>
      <c r="Q415" s="12" t="str">
        <f t="shared" si="82"/>
        <v>23</v>
      </c>
      <c r="R415" s="12" t="str">
        <f t="shared" si="83"/>
        <v>05</v>
      </c>
      <c r="S415" s="6" t="s">
        <v>129</v>
      </c>
      <c r="T415" s="1" t="s">
        <v>130</v>
      </c>
      <c r="U415" s="6" t="s">
        <v>148</v>
      </c>
      <c r="V415" s="1" t="s">
        <v>143</v>
      </c>
      <c r="W415" s="1" t="s">
        <v>133</v>
      </c>
      <c r="X415" s="5">
        <v>46218</v>
      </c>
      <c r="Y415" s="1">
        <f t="shared" si="84"/>
        <v>84</v>
      </c>
      <c r="Z415" s="5">
        <v>46218</v>
      </c>
      <c r="AA415" s="3"/>
      <c r="AB415" s="3"/>
      <c r="AD415" s="133" t="str">
        <f t="shared" si="87"/>
        <v>Closed In July</v>
      </c>
    </row>
    <row r="416" spans="1:30" hidden="1">
      <c r="A416" s="9">
        <v>46134</v>
      </c>
      <c r="B416" s="1">
        <v>2026</v>
      </c>
      <c r="C416" s="8" t="s">
        <v>26</v>
      </c>
      <c r="D416" s="11" t="s">
        <v>179</v>
      </c>
      <c r="E416" s="1"/>
      <c r="F416" s="1" t="s">
        <v>19</v>
      </c>
      <c r="G416" s="8" t="s">
        <v>180</v>
      </c>
      <c r="H416" s="8">
        <v>8248438488</v>
      </c>
      <c r="I416" s="10" t="s">
        <v>30</v>
      </c>
      <c r="J416" s="8" t="s">
        <v>181</v>
      </c>
      <c r="K416" s="8" t="s">
        <v>27</v>
      </c>
      <c r="L416" s="8" t="s">
        <v>28</v>
      </c>
      <c r="M416" s="2" t="s">
        <v>146</v>
      </c>
      <c r="N416" s="6" t="s">
        <v>138</v>
      </c>
      <c r="O416" s="11">
        <v>550</v>
      </c>
      <c r="P416" s="2" t="s">
        <v>616</v>
      </c>
      <c r="Q416" s="12" t="str">
        <f t="shared" si="82"/>
        <v>23</v>
      </c>
      <c r="R416" s="12" t="str">
        <f t="shared" si="83"/>
        <v>05</v>
      </c>
      <c r="S416" s="6" t="s">
        <v>129</v>
      </c>
      <c r="T416" s="1" t="s">
        <v>130</v>
      </c>
      <c r="U416" s="6" t="s">
        <v>148</v>
      </c>
      <c r="V416" s="1" t="s">
        <v>143</v>
      </c>
      <c r="W416" s="1" t="s">
        <v>133</v>
      </c>
      <c r="X416" s="5">
        <v>46218</v>
      </c>
      <c r="Y416" s="1">
        <f t="shared" si="84"/>
        <v>84</v>
      </c>
      <c r="Z416" s="5">
        <v>46218</v>
      </c>
      <c r="AA416" s="3"/>
      <c r="AB416" s="3"/>
      <c r="AD416" s="133" t="str">
        <f t="shared" si="87"/>
        <v>Closed In July</v>
      </c>
    </row>
    <row r="417" spans="1:30" hidden="1">
      <c r="A417" s="9">
        <v>46134</v>
      </c>
      <c r="B417" s="1">
        <v>2026</v>
      </c>
      <c r="C417" s="8" t="s">
        <v>26</v>
      </c>
      <c r="D417" s="11" t="s">
        <v>179</v>
      </c>
      <c r="E417" s="1"/>
      <c r="F417" s="1" t="s">
        <v>19</v>
      </c>
      <c r="G417" s="8" t="s">
        <v>180</v>
      </c>
      <c r="H417" s="8">
        <v>8248438488</v>
      </c>
      <c r="I417" s="10" t="s">
        <v>30</v>
      </c>
      <c r="J417" s="8" t="s">
        <v>181</v>
      </c>
      <c r="K417" s="8" t="s">
        <v>27</v>
      </c>
      <c r="L417" s="8" t="s">
        <v>28</v>
      </c>
      <c r="M417" s="2" t="s">
        <v>146</v>
      </c>
      <c r="N417" s="6" t="s">
        <v>138</v>
      </c>
      <c r="O417" s="11">
        <v>550</v>
      </c>
      <c r="P417" s="2" t="s">
        <v>617</v>
      </c>
      <c r="Q417" s="12" t="str">
        <f t="shared" si="82"/>
        <v>23</v>
      </c>
      <c r="R417" s="12" t="str">
        <f t="shared" si="83"/>
        <v>05</v>
      </c>
      <c r="S417" s="6" t="s">
        <v>129</v>
      </c>
      <c r="T417" s="1" t="s">
        <v>130</v>
      </c>
      <c r="U417" s="6" t="s">
        <v>148</v>
      </c>
      <c r="V417" s="1" t="s">
        <v>143</v>
      </c>
      <c r="W417" s="1" t="s">
        <v>133</v>
      </c>
      <c r="X417" s="5">
        <v>46218</v>
      </c>
      <c r="Y417" s="1">
        <f t="shared" si="84"/>
        <v>84</v>
      </c>
      <c r="Z417" s="5">
        <v>46218</v>
      </c>
      <c r="AA417" s="3"/>
      <c r="AB417" s="3"/>
      <c r="AD417" s="133" t="str">
        <f t="shared" si="87"/>
        <v>Closed In July</v>
      </c>
    </row>
    <row r="418" spans="1:30" hidden="1">
      <c r="A418" s="9">
        <v>46134</v>
      </c>
      <c r="B418" s="1">
        <v>2026</v>
      </c>
      <c r="C418" s="8" t="s">
        <v>26</v>
      </c>
      <c r="D418" s="11" t="s">
        <v>179</v>
      </c>
      <c r="E418" s="1"/>
      <c r="F418" s="1" t="s">
        <v>19</v>
      </c>
      <c r="G418" s="8" t="s">
        <v>180</v>
      </c>
      <c r="H418" s="8">
        <v>8248438488</v>
      </c>
      <c r="I418" s="10" t="s">
        <v>30</v>
      </c>
      <c r="J418" s="8" t="s">
        <v>181</v>
      </c>
      <c r="K418" s="8" t="s">
        <v>27</v>
      </c>
      <c r="L418" s="8" t="s">
        <v>28</v>
      </c>
      <c r="M418" s="2" t="s">
        <v>146</v>
      </c>
      <c r="N418" s="6" t="s">
        <v>138</v>
      </c>
      <c r="O418" s="11">
        <v>550</v>
      </c>
      <c r="P418" s="2" t="s">
        <v>618</v>
      </c>
      <c r="Q418" s="12" t="str">
        <f t="shared" si="82"/>
        <v>23</v>
      </c>
      <c r="R418" s="12" t="str">
        <f t="shared" si="83"/>
        <v>05</v>
      </c>
      <c r="S418" s="6" t="s">
        <v>129</v>
      </c>
      <c r="T418" s="1" t="s">
        <v>130</v>
      </c>
      <c r="U418" s="6" t="s">
        <v>148</v>
      </c>
      <c r="V418" s="1" t="s">
        <v>143</v>
      </c>
      <c r="W418" s="1" t="s">
        <v>133</v>
      </c>
      <c r="X418" s="5">
        <v>46218</v>
      </c>
      <c r="Y418" s="1">
        <f t="shared" si="84"/>
        <v>84</v>
      </c>
      <c r="Z418" s="5">
        <v>46218</v>
      </c>
      <c r="AA418" s="3"/>
      <c r="AB418" s="3"/>
      <c r="AD418" s="133" t="str">
        <f t="shared" si="87"/>
        <v>Closed In July</v>
      </c>
    </row>
    <row r="419" spans="1:30" hidden="1">
      <c r="A419" s="21">
        <v>46219</v>
      </c>
      <c r="B419" s="1">
        <v>2026</v>
      </c>
      <c r="C419" s="33" t="s">
        <v>62</v>
      </c>
      <c r="D419" s="34" t="s">
        <v>123</v>
      </c>
      <c r="E419" s="1"/>
      <c r="F419" s="1" t="s">
        <v>19</v>
      </c>
      <c r="G419" s="8" t="s">
        <v>619</v>
      </c>
      <c r="H419" s="18">
        <v>8828840014</v>
      </c>
      <c r="I419" s="10" t="s">
        <v>64</v>
      </c>
      <c r="J419" s="18" t="s">
        <v>620</v>
      </c>
      <c r="K419" s="8" t="s">
        <v>63</v>
      </c>
      <c r="L419" s="33" t="s">
        <v>35</v>
      </c>
      <c r="M419" s="8" t="s">
        <v>471</v>
      </c>
      <c r="N419" s="8" t="s">
        <v>1108</v>
      </c>
      <c r="O419" s="6">
        <v>590</v>
      </c>
      <c r="P419" s="2" t="s">
        <v>621</v>
      </c>
      <c r="Q419" s="12" t="str">
        <f t="shared" ref="Q419" si="88">MID(P419,5,2)</f>
        <v>26</v>
      </c>
      <c r="R419" s="12" t="str">
        <f t="shared" ref="R419" si="89">MID(P419,7,2)</f>
        <v>06</v>
      </c>
      <c r="S419" s="6" t="s">
        <v>140</v>
      </c>
      <c r="T419" s="6" t="s">
        <v>474</v>
      </c>
      <c r="U419" s="18" t="s">
        <v>510</v>
      </c>
      <c r="V419" s="6" t="s">
        <v>511</v>
      </c>
      <c r="W419" s="1" t="s">
        <v>259</v>
      </c>
      <c r="X419" s="5">
        <v>46219</v>
      </c>
      <c r="Y419" s="1">
        <f t="shared" si="84"/>
        <v>0</v>
      </c>
      <c r="Z419" s="6" t="s">
        <v>49</v>
      </c>
      <c r="AA419" s="3"/>
      <c r="AB419" s="3"/>
      <c r="AD419" s="133" t="str">
        <f t="shared" si="87"/>
        <v>Closed In July</v>
      </c>
    </row>
    <row r="420" spans="1:30" hidden="1">
      <c r="A420" s="21">
        <v>46219</v>
      </c>
      <c r="B420" s="1">
        <v>2026</v>
      </c>
      <c r="C420" s="33" t="s">
        <v>62</v>
      </c>
      <c r="D420" s="34" t="s">
        <v>123</v>
      </c>
      <c r="E420" s="1"/>
      <c r="F420" s="1" t="s">
        <v>19</v>
      </c>
      <c r="G420" s="8" t="s">
        <v>619</v>
      </c>
      <c r="H420" s="18">
        <v>8828840014</v>
      </c>
      <c r="I420" s="10" t="s">
        <v>64</v>
      </c>
      <c r="J420" s="18" t="s">
        <v>620</v>
      </c>
      <c r="K420" s="8" t="s">
        <v>63</v>
      </c>
      <c r="L420" s="33" t="s">
        <v>35</v>
      </c>
      <c r="M420" s="8" t="s">
        <v>471</v>
      </c>
      <c r="N420" s="8" t="s">
        <v>1108</v>
      </c>
      <c r="O420" s="6">
        <v>590</v>
      </c>
      <c r="P420" s="2" t="s">
        <v>622</v>
      </c>
      <c r="Q420" s="12" t="str">
        <f t="shared" ref="Q420:Q483" si="90">MID(P420,5,2)</f>
        <v>26</v>
      </c>
      <c r="R420" s="12" t="str">
        <f t="shared" ref="R420:R483" si="91">MID(P420,7,2)</f>
        <v>06</v>
      </c>
      <c r="S420" s="6" t="s">
        <v>140</v>
      </c>
      <c r="T420" s="6" t="s">
        <v>474</v>
      </c>
      <c r="U420" s="18" t="s">
        <v>510</v>
      </c>
      <c r="V420" s="6" t="s">
        <v>511</v>
      </c>
      <c r="W420" s="1" t="s">
        <v>259</v>
      </c>
      <c r="X420" s="5">
        <v>46219</v>
      </c>
      <c r="Y420" s="1">
        <f t="shared" ref="Y420:Y483" si="92">X420-A420</f>
        <v>0</v>
      </c>
      <c r="Z420" s="6" t="s">
        <v>49</v>
      </c>
      <c r="AA420" s="3"/>
      <c r="AB420" s="3"/>
      <c r="AD420" s="133" t="str">
        <f t="shared" si="87"/>
        <v>Closed In July</v>
      </c>
    </row>
    <row r="421" spans="1:30" hidden="1">
      <c r="A421" s="21">
        <v>46219</v>
      </c>
      <c r="B421" s="1">
        <v>2026</v>
      </c>
      <c r="C421" s="33" t="s">
        <v>62</v>
      </c>
      <c r="D421" s="34" t="s">
        <v>123</v>
      </c>
      <c r="E421" s="1"/>
      <c r="F421" s="1" t="s">
        <v>19</v>
      </c>
      <c r="G421" s="8" t="s">
        <v>619</v>
      </c>
      <c r="H421" s="18">
        <v>8828840014</v>
      </c>
      <c r="I421" s="10" t="s">
        <v>64</v>
      </c>
      <c r="J421" s="18" t="s">
        <v>620</v>
      </c>
      <c r="K421" s="8" t="s">
        <v>63</v>
      </c>
      <c r="L421" s="33" t="s">
        <v>35</v>
      </c>
      <c r="M421" s="8" t="s">
        <v>471</v>
      </c>
      <c r="N421" s="8" t="s">
        <v>1108</v>
      </c>
      <c r="O421" s="6">
        <v>590</v>
      </c>
      <c r="P421" s="2" t="s">
        <v>623</v>
      </c>
      <c r="Q421" s="12" t="str">
        <f t="shared" si="90"/>
        <v>26</v>
      </c>
      <c r="R421" s="12" t="str">
        <f t="shared" si="91"/>
        <v>06</v>
      </c>
      <c r="S421" s="6" t="s">
        <v>140</v>
      </c>
      <c r="T421" s="6" t="s">
        <v>474</v>
      </c>
      <c r="U421" s="18" t="s">
        <v>510</v>
      </c>
      <c r="V421" s="6" t="s">
        <v>511</v>
      </c>
      <c r="W421" s="1" t="s">
        <v>259</v>
      </c>
      <c r="X421" s="5">
        <v>46219</v>
      </c>
      <c r="Y421" s="1">
        <f t="shared" si="92"/>
        <v>0</v>
      </c>
      <c r="Z421" s="6" t="s">
        <v>49</v>
      </c>
      <c r="AA421" s="3"/>
      <c r="AB421" s="3"/>
      <c r="AD421" s="133" t="str">
        <f t="shared" si="87"/>
        <v>Closed In July</v>
      </c>
    </row>
    <row r="422" spans="1:30" hidden="1">
      <c r="A422" s="21">
        <v>46219</v>
      </c>
      <c r="B422" s="1">
        <v>2026</v>
      </c>
      <c r="C422" s="33" t="s">
        <v>62</v>
      </c>
      <c r="D422" s="34" t="s">
        <v>123</v>
      </c>
      <c r="E422" s="1"/>
      <c r="F422" s="1" t="s">
        <v>19</v>
      </c>
      <c r="G422" s="8" t="s">
        <v>619</v>
      </c>
      <c r="H422" s="18">
        <v>8828840014</v>
      </c>
      <c r="I422" s="10" t="s">
        <v>64</v>
      </c>
      <c r="J422" s="18" t="s">
        <v>620</v>
      </c>
      <c r="K422" s="8" t="s">
        <v>63</v>
      </c>
      <c r="L422" s="33" t="s">
        <v>35</v>
      </c>
      <c r="M422" s="8" t="s">
        <v>471</v>
      </c>
      <c r="N422" s="8" t="s">
        <v>1108</v>
      </c>
      <c r="O422" s="6">
        <v>590</v>
      </c>
      <c r="P422" s="2" t="s">
        <v>624</v>
      </c>
      <c r="Q422" s="12" t="str">
        <f t="shared" si="90"/>
        <v>26</v>
      </c>
      <c r="R422" s="12" t="str">
        <f t="shared" si="91"/>
        <v>06</v>
      </c>
      <c r="S422" s="6" t="s">
        <v>140</v>
      </c>
      <c r="T422" s="6" t="s">
        <v>474</v>
      </c>
      <c r="U422" s="18" t="s">
        <v>510</v>
      </c>
      <c r="V422" s="6" t="s">
        <v>511</v>
      </c>
      <c r="W422" s="1" t="s">
        <v>259</v>
      </c>
      <c r="X422" s="5">
        <v>46219</v>
      </c>
      <c r="Y422" s="1">
        <f t="shared" si="92"/>
        <v>0</v>
      </c>
      <c r="Z422" s="6" t="s">
        <v>49</v>
      </c>
      <c r="AA422" s="3"/>
      <c r="AB422" s="3"/>
      <c r="AD422" s="133" t="str">
        <f t="shared" si="87"/>
        <v>Closed In July</v>
      </c>
    </row>
    <row r="423" spans="1:30" hidden="1">
      <c r="A423" s="21">
        <v>46219</v>
      </c>
      <c r="B423" s="1">
        <v>2026</v>
      </c>
      <c r="C423" s="33" t="s">
        <v>62</v>
      </c>
      <c r="D423" s="34" t="s">
        <v>123</v>
      </c>
      <c r="E423" s="1"/>
      <c r="F423" s="1" t="s">
        <v>19</v>
      </c>
      <c r="G423" s="8" t="s">
        <v>619</v>
      </c>
      <c r="H423" s="18">
        <v>8828840014</v>
      </c>
      <c r="I423" s="10" t="s">
        <v>64</v>
      </c>
      <c r="J423" s="18" t="s">
        <v>620</v>
      </c>
      <c r="K423" s="8" t="s">
        <v>63</v>
      </c>
      <c r="L423" s="33" t="s">
        <v>35</v>
      </c>
      <c r="M423" s="8" t="s">
        <v>471</v>
      </c>
      <c r="N423" s="8" t="s">
        <v>1108</v>
      </c>
      <c r="O423" s="6">
        <v>590</v>
      </c>
      <c r="P423" s="2" t="s">
        <v>625</v>
      </c>
      <c r="Q423" s="12" t="str">
        <f t="shared" si="90"/>
        <v>26</v>
      </c>
      <c r="R423" s="12" t="str">
        <f t="shared" si="91"/>
        <v>06</v>
      </c>
      <c r="S423" s="6" t="s">
        <v>140</v>
      </c>
      <c r="T423" s="6" t="s">
        <v>474</v>
      </c>
      <c r="U423" s="18" t="s">
        <v>510</v>
      </c>
      <c r="V423" s="6" t="s">
        <v>511</v>
      </c>
      <c r="W423" s="1" t="s">
        <v>259</v>
      </c>
      <c r="X423" s="5">
        <v>46219</v>
      </c>
      <c r="Y423" s="1">
        <f t="shared" si="92"/>
        <v>0</v>
      </c>
      <c r="Z423" s="6" t="s">
        <v>49</v>
      </c>
      <c r="AA423" s="3"/>
      <c r="AB423" s="3"/>
      <c r="AD423" s="133" t="str">
        <f t="shared" si="87"/>
        <v>Closed In July</v>
      </c>
    </row>
    <row r="424" spans="1:30" hidden="1">
      <c r="A424" s="21">
        <v>46219</v>
      </c>
      <c r="B424" s="1">
        <v>2026</v>
      </c>
      <c r="C424" s="33" t="s">
        <v>62</v>
      </c>
      <c r="D424" s="34" t="s">
        <v>123</v>
      </c>
      <c r="E424" s="1"/>
      <c r="F424" s="1" t="s">
        <v>19</v>
      </c>
      <c r="G424" s="8" t="s">
        <v>619</v>
      </c>
      <c r="H424" s="18">
        <v>8828840014</v>
      </c>
      <c r="I424" s="10" t="s">
        <v>64</v>
      </c>
      <c r="J424" s="18" t="s">
        <v>620</v>
      </c>
      <c r="K424" s="8" t="s">
        <v>63</v>
      </c>
      <c r="L424" s="33" t="s">
        <v>35</v>
      </c>
      <c r="M424" s="8" t="s">
        <v>471</v>
      </c>
      <c r="N424" s="8" t="s">
        <v>1108</v>
      </c>
      <c r="O424" s="6">
        <v>590</v>
      </c>
      <c r="P424" s="2" t="s">
        <v>626</v>
      </c>
      <c r="Q424" s="12" t="str">
        <f t="shared" si="90"/>
        <v>26</v>
      </c>
      <c r="R424" s="12" t="str">
        <f t="shared" si="91"/>
        <v>06</v>
      </c>
      <c r="S424" s="6" t="s">
        <v>140</v>
      </c>
      <c r="T424" s="6" t="s">
        <v>474</v>
      </c>
      <c r="U424" s="18" t="s">
        <v>510</v>
      </c>
      <c r="V424" s="6" t="s">
        <v>511</v>
      </c>
      <c r="W424" s="1" t="s">
        <v>259</v>
      </c>
      <c r="X424" s="5">
        <v>46219</v>
      </c>
      <c r="Y424" s="1">
        <f t="shared" si="92"/>
        <v>0</v>
      </c>
      <c r="Z424" s="6" t="s">
        <v>49</v>
      </c>
      <c r="AA424" s="3"/>
      <c r="AB424" s="3"/>
      <c r="AD424" s="133" t="str">
        <f t="shared" si="87"/>
        <v>Closed In July</v>
      </c>
    </row>
    <row r="425" spans="1:30" hidden="1">
      <c r="A425" s="21">
        <v>46219</v>
      </c>
      <c r="B425" s="1">
        <v>2026</v>
      </c>
      <c r="C425" s="33" t="s">
        <v>62</v>
      </c>
      <c r="D425" s="34" t="s">
        <v>123</v>
      </c>
      <c r="E425" s="1"/>
      <c r="F425" s="1" t="s">
        <v>19</v>
      </c>
      <c r="G425" s="8" t="s">
        <v>619</v>
      </c>
      <c r="H425" s="18">
        <v>8828840014</v>
      </c>
      <c r="I425" s="10" t="s">
        <v>64</v>
      </c>
      <c r="J425" s="18" t="s">
        <v>620</v>
      </c>
      <c r="K425" s="8" t="s">
        <v>63</v>
      </c>
      <c r="L425" s="33" t="s">
        <v>35</v>
      </c>
      <c r="M425" s="8" t="s">
        <v>471</v>
      </c>
      <c r="N425" s="8" t="s">
        <v>1108</v>
      </c>
      <c r="O425" s="6">
        <v>590</v>
      </c>
      <c r="P425" s="2" t="s">
        <v>627</v>
      </c>
      <c r="Q425" s="12" t="str">
        <f t="shared" si="90"/>
        <v>26</v>
      </c>
      <c r="R425" s="12" t="str">
        <f t="shared" si="91"/>
        <v>06</v>
      </c>
      <c r="S425" s="6" t="s">
        <v>140</v>
      </c>
      <c r="T425" s="6" t="s">
        <v>474</v>
      </c>
      <c r="U425" s="18" t="s">
        <v>510</v>
      </c>
      <c r="V425" s="6" t="s">
        <v>511</v>
      </c>
      <c r="W425" s="1" t="s">
        <v>259</v>
      </c>
      <c r="X425" s="5">
        <v>46219</v>
      </c>
      <c r="Y425" s="1">
        <f t="shared" si="92"/>
        <v>0</v>
      </c>
      <c r="Z425" s="6" t="s">
        <v>49</v>
      </c>
      <c r="AA425" s="3"/>
      <c r="AB425" s="3"/>
      <c r="AD425" s="133" t="str">
        <f t="shared" si="87"/>
        <v>Closed In July</v>
      </c>
    </row>
    <row r="426" spans="1:30" hidden="1">
      <c r="A426" s="21">
        <v>46219</v>
      </c>
      <c r="B426" s="1">
        <v>2026</v>
      </c>
      <c r="C426" s="33" t="s">
        <v>62</v>
      </c>
      <c r="D426" s="34" t="s">
        <v>123</v>
      </c>
      <c r="E426" s="1"/>
      <c r="F426" s="1" t="s">
        <v>19</v>
      </c>
      <c r="G426" s="8" t="s">
        <v>619</v>
      </c>
      <c r="H426" s="18">
        <v>8828840014</v>
      </c>
      <c r="I426" s="10" t="s">
        <v>64</v>
      </c>
      <c r="J426" s="18" t="s">
        <v>620</v>
      </c>
      <c r="K426" s="8" t="s">
        <v>63</v>
      </c>
      <c r="L426" s="33" t="s">
        <v>35</v>
      </c>
      <c r="M426" s="8" t="s">
        <v>471</v>
      </c>
      <c r="N426" s="8" t="s">
        <v>1108</v>
      </c>
      <c r="O426" s="6">
        <v>590</v>
      </c>
      <c r="P426" s="2" t="s">
        <v>628</v>
      </c>
      <c r="Q426" s="12" t="str">
        <f t="shared" si="90"/>
        <v>26</v>
      </c>
      <c r="R426" s="12" t="str">
        <f t="shared" si="91"/>
        <v>06</v>
      </c>
      <c r="S426" s="6" t="s">
        <v>140</v>
      </c>
      <c r="T426" s="6" t="s">
        <v>474</v>
      </c>
      <c r="U426" s="18" t="s">
        <v>510</v>
      </c>
      <c r="V426" s="6" t="s">
        <v>511</v>
      </c>
      <c r="W426" s="1" t="s">
        <v>259</v>
      </c>
      <c r="X426" s="5">
        <v>46219</v>
      </c>
      <c r="Y426" s="1">
        <f t="shared" si="92"/>
        <v>0</v>
      </c>
      <c r="Z426" s="6" t="s">
        <v>49</v>
      </c>
      <c r="AA426" s="3"/>
      <c r="AB426" s="3"/>
      <c r="AD426" s="133" t="str">
        <f t="shared" si="87"/>
        <v>Closed In July</v>
      </c>
    </row>
    <row r="427" spans="1:30" hidden="1">
      <c r="A427" s="21">
        <v>46219</v>
      </c>
      <c r="B427" s="1">
        <v>2026</v>
      </c>
      <c r="C427" s="33" t="s">
        <v>62</v>
      </c>
      <c r="D427" s="34" t="s">
        <v>123</v>
      </c>
      <c r="E427" s="1"/>
      <c r="F427" s="1" t="s">
        <v>19</v>
      </c>
      <c r="G427" s="8" t="s">
        <v>619</v>
      </c>
      <c r="H427" s="18">
        <v>8828840014</v>
      </c>
      <c r="I427" s="10" t="s">
        <v>64</v>
      </c>
      <c r="J427" s="18" t="s">
        <v>620</v>
      </c>
      <c r="K427" s="8" t="s">
        <v>63</v>
      </c>
      <c r="L427" s="33" t="s">
        <v>35</v>
      </c>
      <c r="M427" s="8" t="s">
        <v>471</v>
      </c>
      <c r="N427" s="8" t="s">
        <v>1108</v>
      </c>
      <c r="O427" s="6">
        <v>590</v>
      </c>
      <c r="P427" s="2" t="s">
        <v>629</v>
      </c>
      <c r="Q427" s="12" t="str">
        <f t="shared" si="90"/>
        <v>26</v>
      </c>
      <c r="R427" s="12" t="str">
        <f t="shared" si="91"/>
        <v>06</v>
      </c>
      <c r="S427" s="6" t="s">
        <v>140</v>
      </c>
      <c r="T427" s="6" t="s">
        <v>474</v>
      </c>
      <c r="U427" s="18" t="s">
        <v>510</v>
      </c>
      <c r="V427" s="6" t="s">
        <v>511</v>
      </c>
      <c r="W427" s="1" t="s">
        <v>259</v>
      </c>
      <c r="X427" s="5">
        <v>46219</v>
      </c>
      <c r="Y427" s="1">
        <f t="shared" si="92"/>
        <v>0</v>
      </c>
      <c r="Z427" s="6" t="s">
        <v>49</v>
      </c>
      <c r="AA427" s="3"/>
      <c r="AB427" s="3"/>
      <c r="AD427" s="133" t="str">
        <f t="shared" si="87"/>
        <v>Closed In July</v>
      </c>
    </row>
    <row r="428" spans="1:30" hidden="1">
      <c r="A428" s="21">
        <v>46219</v>
      </c>
      <c r="B428" s="1">
        <v>2026</v>
      </c>
      <c r="C428" s="33" t="s">
        <v>62</v>
      </c>
      <c r="D428" s="34" t="s">
        <v>123</v>
      </c>
      <c r="E428" s="1"/>
      <c r="F428" s="1" t="s">
        <v>19</v>
      </c>
      <c r="G428" s="8" t="s">
        <v>619</v>
      </c>
      <c r="H428" s="18">
        <v>8828840014</v>
      </c>
      <c r="I428" s="10" t="s">
        <v>64</v>
      </c>
      <c r="J428" s="18" t="s">
        <v>620</v>
      </c>
      <c r="K428" s="8" t="s">
        <v>63</v>
      </c>
      <c r="L428" s="33" t="s">
        <v>35</v>
      </c>
      <c r="M428" s="8" t="s">
        <v>471</v>
      </c>
      <c r="N428" s="8" t="s">
        <v>1108</v>
      </c>
      <c r="O428" s="6">
        <v>590</v>
      </c>
      <c r="P428" s="2" t="s">
        <v>630</v>
      </c>
      <c r="Q428" s="12" t="str">
        <f t="shared" si="90"/>
        <v>26</v>
      </c>
      <c r="R428" s="12" t="str">
        <f t="shared" si="91"/>
        <v>06</v>
      </c>
      <c r="S428" s="6" t="s">
        <v>140</v>
      </c>
      <c r="T428" s="6" t="s">
        <v>474</v>
      </c>
      <c r="U428" s="18" t="s">
        <v>510</v>
      </c>
      <c r="V428" s="6" t="s">
        <v>511</v>
      </c>
      <c r="W428" s="1" t="s">
        <v>259</v>
      </c>
      <c r="X428" s="5">
        <v>46219</v>
      </c>
      <c r="Y428" s="1">
        <f t="shared" si="92"/>
        <v>0</v>
      </c>
      <c r="Z428" s="6" t="s">
        <v>49</v>
      </c>
      <c r="AA428" s="3"/>
      <c r="AB428" s="3"/>
      <c r="AD428" s="133" t="str">
        <f t="shared" si="87"/>
        <v>Closed In July</v>
      </c>
    </row>
    <row r="429" spans="1:30" hidden="1">
      <c r="A429" s="21">
        <v>46219</v>
      </c>
      <c r="B429" s="1">
        <v>2026</v>
      </c>
      <c r="C429" s="33" t="s">
        <v>62</v>
      </c>
      <c r="D429" s="34" t="s">
        <v>123</v>
      </c>
      <c r="E429" s="1"/>
      <c r="F429" s="1" t="s">
        <v>19</v>
      </c>
      <c r="G429" s="8" t="s">
        <v>619</v>
      </c>
      <c r="H429" s="18">
        <v>8828840014</v>
      </c>
      <c r="I429" s="10" t="s">
        <v>64</v>
      </c>
      <c r="J429" s="18" t="s">
        <v>620</v>
      </c>
      <c r="K429" s="8" t="s">
        <v>63</v>
      </c>
      <c r="L429" s="33" t="s">
        <v>35</v>
      </c>
      <c r="M429" s="8" t="s">
        <v>471</v>
      </c>
      <c r="N429" s="8" t="s">
        <v>1108</v>
      </c>
      <c r="O429" s="6">
        <v>590</v>
      </c>
      <c r="P429" s="2" t="s">
        <v>631</v>
      </c>
      <c r="Q429" s="12" t="str">
        <f t="shared" si="90"/>
        <v>26</v>
      </c>
      <c r="R429" s="12" t="str">
        <f t="shared" si="91"/>
        <v>06</v>
      </c>
      <c r="S429" s="6" t="s">
        <v>140</v>
      </c>
      <c r="T429" s="6" t="s">
        <v>474</v>
      </c>
      <c r="U429" s="18" t="s">
        <v>510</v>
      </c>
      <c r="V429" s="6" t="s">
        <v>511</v>
      </c>
      <c r="W429" s="1" t="s">
        <v>259</v>
      </c>
      <c r="X429" s="5">
        <v>46219</v>
      </c>
      <c r="Y429" s="1">
        <f t="shared" si="92"/>
        <v>0</v>
      </c>
      <c r="Z429" s="6" t="s">
        <v>49</v>
      </c>
      <c r="AA429" s="3"/>
      <c r="AB429" s="3"/>
      <c r="AD429" s="133" t="str">
        <f t="shared" si="87"/>
        <v>Closed In July</v>
      </c>
    </row>
    <row r="430" spans="1:30" hidden="1">
      <c r="A430" s="21">
        <v>46219</v>
      </c>
      <c r="B430" s="1">
        <v>2026</v>
      </c>
      <c r="C430" s="33" t="s">
        <v>62</v>
      </c>
      <c r="D430" s="34" t="s">
        <v>123</v>
      </c>
      <c r="E430" s="1"/>
      <c r="F430" s="1" t="s">
        <v>19</v>
      </c>
      <c r="G430" s="8" t="s">
        <v>619</v>
      </c>
      <c r="H430" s="18">
        <v>8828840014</v>
      </c>
      <c r="I430" s="10" t="s">
        <v>64</v>
      </c>
      <c r="J430" s="18" t="s">
        <v>620</v>
      </c>
      <c r="K430" s="8" t="s">
        <v>63</v>
      </c>
      <c r="L430" s="33" t="s">
        <v>35</v>
      </c>
      <c r="M430" s="8" t="s">
        <v>471</v>
      </c>
      <c r="N430" s="8" t="s">
        <v>1108</v>
      </c>
      <c r="O430" s="6">
        <v>590</v>
      </c>
      <c r="P430" s="2" t="s">
        <v>632</v>
      </c>
      <c r="Q430" s="12" t="str">
        <f t="shared" si="90"/>
        <v>26</v>
      </c>
      <c r="R430" s="12" t="str">
        <f t="shared" si="91"/>
        <v>06</v>
      </c>
      <c r="S430" s="6" t="s">
        <v>140</v>
      </c>
      <c r="T430" s="6" t="s">
        <v>474</v>
      </c>
      <c r="U430" s="18" t="s">
        <v>510</v>
      </c>
      <c r="V430" s="6" t="s">
        <v>511</v>
      </c>
      <c r="W430" s="1" t="s">
        <v>259</v>
      </c>
      <c r="X430" s="5">
        <v>46219</v>
      </c>
      <c r="Y430" s="1">
        <f t="shared" si="92"/>
        <v>0</v>
      </c>
      <c r="Z430" s="6" t="s">
        <v>49</v>
      </c>
      <c r="AA430" s="3"/>
      <c r="AB430" s="3"/>
      <c r="AD430" s="133" t="str">
        <f t="shared" si="87"/>
        <v>Closed In July</v>
      </c>
    </row>
    <row r="431" spans="1:30" hidden="1">
      <c r="A431" s="21">
        <v>46219</v>
      </c>
      <c r="B431" s="1">
        <v>2026</v>
      </c>
      <c r="C431" s="33" t="s">
        <v>62</v>
      </c>
      <c r="D431" s="34" t="s">
        <v>123</v>
      </c>
      <c r="E431" s="1"/>
      <c r="F431" s="1" t="s">
        <v>19</v>
      </c>
      <c r="G431" s="8" t="s">
        <v>619</v>
      </c>
      <c r="H431" s="18">
        <v>8828840014</v>
      </c>
      <c r="I431" s="10" t="s">
        <v>64</v>
      </c>
      <c r="J431" s="18" t="s">
        <v>620</v>
      </c>
      <c r="K431" s="8" t="s">
        <v>63</v>
      </c>
      <c r="L431" s="33" t="s">
        <v>35</v>
      </c>
      <c r="M431" s="8" t="s">
        <v>471</v>
      </c>
      <c r="N431" s="8" t="s">
        <v>1108</v>
      </c>
      <c r="O431" s="6">
        <v>590</v>
      </c>
      <c r="P431" s="2" t="s">
        <v>633</v>
      </c>
      <c r="Q431" s="12" t="str">
        <f t="shared" si="90"/>
        <v>26</v>
      </c>
      <c r="R431" s="12" t="str">
        <f t="shared" si="91"/>
        <v>06</v>
      </c>
      <c r="S431" s="6" t="s">
        <v>140</v>
      </c>
      <c r="T431" s="6" t="s">
        <v>474</v>
      </c>
      <c r="U431" s="18" t="s">
        <v>510</v>
      </c>
      <c r="V431" s="6" t="s">
        <v>511</v>
      </c>
      <c r="W431" s="1" t="s">
        <v>259</v>
      </c>
      <c r="X431" s="5">
        <v>46219</v>
      </c>
      <c r="Y431" s="1">
        <f t="shared" si="92"/>
        <v>0</v>
      </c>
      <c r="Z431" s="6" t="s">
        <v>49</v>
      </c>
      <c r="AA431" s="3"/>
      <c r="AB431" s="3"/>
      <c r="AD431" s="133" t="str">
        <f t="shared" si="87"/>
        <v>Closed In July</v>
      </c>
    </row>
    <row r="432" spans="1:30" hidden="1">
      <c r="A432" s="21">
        <v>46219</v>
      </c>
      <c r="B432" s="1">
        <v>2026</v>
      </c>
      <c r="C432" s="33" t="s">
        <v>62</v>
      </c>
      <c r="D432" s="34" t="s">
        <v>123</v>
      </c>
      <c r="E432" s="1"/>
      <c r="F432" s="1" t="s">
        <v>19</v>
      </c>
      <c r="G432" s="8" t="s">
        <v>619</v>
      </c>
      <c r="H432" s="18">
        <v>8828840014</v>
      </c>
      <c r="I432" s="10" t="s">
        <v>64</v>
      </c>
      <c r="J432" s="18" t="s">
        <v>620</v>
      </c>
      <c r="K432" s="8" t="s">
        <v>63</v>
      </c>
      <c r="L432" s="33" t="s">
        <v>35</v>
      </c>
      <c r="M432" s="8" t="s">
        <v>471</v>
      </c>
      <c r="N432" s="8" t="s">
        <v>1108</v>
      </c>
      <c r="O432" s="6">
        <v>590</v>
      </c>
      <c r="P432" s="2" t="s">
        <v>634</v>
      </c>
      <c r="Q432" s="12" t="str">
        <f t="shared" si="90"/>
        <v>26</v>
      </c>
      <c r="R432" s="12" t="str">
        <f t="shared" si="91"/>
        <v>06</v>
      </c>
      <c r="S432" s="6" t="s">
        <v>140</v>
      </c>
      <c r="T432" s="6" t="s">
        <v>474</v>
      </c>
      <c r="U432" s="18" t="s">
        <v>510</v>
      </c>
      <c r="V432" s="6" t="s">
        <v>511</v>
      </c>
      <c r="W432" s="1" t="s">
        <v>259</v>
      </c>
      <c r="X432" s="5">
        <v>46219</v>
      </c>
      <c r="Y432" s="1">
        <f t="shared" si="92"/>
        <v>0</v>
      </c>
      <c r="Z432" s="6" t="s">
        <v>49</v>
      </c>
      <c r="AA432" s="3"/>
      <c r="AB432" s="3"/>
      <c r="AD432" s="133" t="str">
        <f t="shared" si="87"/>
        <v>Closed In July</v>
      </c>
    </row>
    <row r="433" spans="1:30" hidden="1">
      <c r="A433" s="21">
        <v>46219</v>
      </c>
      <c r="B433" s="1">
        <v>2026</v>
      </c>
      <c r="C433" s="33" t="s">
        <v>62</v>
      </c>
      <c r="D433" s="34" t="s">
        <v>123</v>
      </c>
      <c r="E433" s="1"/>
      <c r="F433" s="1" t="s">
        <v>19</v>
      </c>
      <c r="G433" s="8" t="s">
        <v>619</v>
      </c>
      <c r="H433" s="18">
        <v>8828840014</v>
      </c>
      <c r="I433" s="10" t="s">
        <v>64</v>
      </c>
      <c r="J433" s="18" t="s">
        <v>620</v>
      </c>
      <c r="K433" s="8" t="s">
        <v>63</v>
      </c>
      <c r="L433" s="33" t="s">
        <v>35</v>
      </c>
      <c r="M433" s="8" t="s">
        <v>471</v>
      </c>
      <c r="N433" s="8" t="s">
        <v>1108</v>
      </c>
      <c r="O433" s="6">
        <v>590</v>
      </c>
      <c r="P433" s="2" t="s">
        <v>635</v>
      </c>
      <c r="Q433" s="12" t="str">
        <f t="shared" si="90"/>
        <v>26</v>
      </c>
      <c r="R433" s="12" t="str">
        <f t="shared" si="91"/>
        <v>06</v>
      </c>
      <c r="S433" s="6" t="s">
        <v>140</v>
      </c>
      <c r="T433" s="6" t="s">
        <v>474</v>
      </c>
      <c r="U433" s="18" t="s">
        <v>510</v>
      </c>
      <c r="V433" s="6" t="s">
        <v>511</v>
      </c>
      <c r="W433" s="1" t="s">
        <v>259</v>
      </c>
      <c r="X433" s="5">
        <v>46219</v>
      </c>
      <c r="Y433" s="1">
        <f t="shared" si="92"/>
        <v>0</v>
      </c>
      <c r="Z433" s="6" t="s">
        <v>49</v>
      </c>
      <c r="AA433" s="3"/>
      <c r="AB433" s="3"/>
      <c r="AD433" s="133" t="str">
        <f t="shared" si="87"/>
        <v>Closed In July</v>
      </c>
    </row>
    <row r="434" spans="1:30" hidden="1">
      <c r="A434" s="21">
        <v>46219</v>
      </c>
      <c r="B434" s="1">
        <v>2026</v>
      </c>
      <c r="C434" s="33" t="s">
        <v>62</v>
      </c>
      <c r="D434" s="34" t="s">
        <v>123</v>
      </c>
      <c r="E434" s="1"/>
      <c r="F434" s="1" t="s">
        <v>19</v>
      </c>
      <c r="G434" s="8" t="s">
        <v>619</v>
      </c>
      <c r="H434" s="18">
        <v>8828840014</v>
      </c>
      <c r="I434" s="10" t="s">
        <v>64</v>
      </c>
      <c r="J434" s="18" t="s">
        <v>620</v>
      </c>
      <c r="K434" s="8" t="s">
        <v>63</v>
      </c>
      <c r="L434" s="33" t="s">
        <v>35</v>
      </c>
      <c r="M434" s="8" t="s">
        <v>471</v>
      </c>
      <c r="N434" s="8" t="s">
        <v>1108</v>
      </c>
      <c r="O434" s="6">
        <v>590</v>
      </c>
      <c r="P434" s="2" t="s">
        <v>636</v>
      </c>
      <c r="Q434" s="12" t="str">
        <f t="shared" si="90"/>
        <v>26</v>
      </c>
      <c r="R434" s="12" t="str">
        <f t="shared" si="91"/>
        <v>06</v>
      </c>
      <c r="S434" s="6" t="s">
        <v>140</v>
      </c>
      <c r="T434" s="6" t="s">
        <v>474</v>
      </c>
      <c r="U434" s="18" t="s">
        <v>510</v>
      </c>
      <c r="V434" s="6" t="s">
        <v>511</v>
      </c>
      <c r="W434" s="1" t="s">
        <v>259</v>
      </c>
      <c r="X434" s="5">
        <v>46219</v>
      </c>
      <c r="Y434" s="1">
        <f t="shared" si="92"/>
        <v>0</v>
      </c>
      <c r="Z434" s="6" t="s">
        <v>49</v>
      </c>
      <c r="AA434" s="3"/>
      <c r="AB434" s="3"/>
      <c r="AD434" s="133" t="str">
        <f t="shared" si="87"/>
        <v>Closed In July</v>
      </c>
    </row>
    <row r="435" spans="1:30" hidden="1">
      <c r="A435" s="21">
        <v>46219</v>
      </c>
      <c r="B435" s="1">
        <v>2026</v>
      </c>
      <c r="C435" s="33" t="s">
        <v>62</v>
      </c>
      <c r="D435" s="34" t="s">
        <v>123</v>
      </c>
      <c r="E435" s="1"/>
      <c r="F435" s="1" t="s">
        <v>19</v>
      </c>
      <c r="G435" s="8" t="s">
        <v>619</v>
      </c>
      <c r="H435" s="18">
        <v>8828840014</v>
      </c>
      <c r="I435" s="10" t="s">
        <v>64</v>
      </c>
      <c r="J435" s="18" t="s">
        <v>620</v>
      </c>
      <c r="K435" s="8" t="s">
        <v>63</v>
      </c>
      <c r="L435" s="33" t="s">
        <v>35</v>
      </c>
      <c r="M435" s="8" t="s">
        <v>471</v>
      </c>
      <c r="N435" s="8" t="s">
        <v>1108</v>
      </c>
      <c r="O435" s="6">
        <v>590</v>
      </c>
      <c r="P435" s="2" t="s">
        <v>637</v>
      </c>
      <c r="Q435" s="12" t="str">
        <f t="shared" si="90"/>
        <v>26</v>
      </c>
      <c r="R435" s="12" t="str">
        <f t="shared" si="91"/>
        <v>06</v>
      </c>
      <c r="S435" s="6" t="s">
        <v>140</v>
      </c>
      <c r="T435" s="6" t="s">
        <v>474</v>
      </c>
      <c r="U435" s="18" t="s">
        <v>510</v>
      </c>
      <c r="V435" s="6" t="s">
        <v>511</v>
      </c>
      <c r="W435" s="1" t="s">
        <v>259</v>
      </c>
      <c r="X435" s="5">
        <v>46219</v>
      </c>
      <c r="Y435" s="1">
        <f t="shared" si="92"/>
        <v>0</v>
      </c>
      <c r="Z435" s="6" t="s">
        <v>49</v>
      </c>
      <c r="AA435" s="3"/>
      <c r="AB435" s="3"/>
      <c r="AD435" s="133" t="str">
        <f t="shared" si="87"/>
        <v>Closed In July</v>
      </c>
    </row>
    <row r="436" spans="1:30" hidden="1">
      <c r="A436" s="21">
        <v>46219</v>
      </c>
      <c r="B436" s="1">
        <v>2026</v>
      </c>
      <c r="C436" s="33" t="s">
        <v>62</v>
      </c>
      <c r="D436" s="34" t="s">
        <v>123</v>
      </c>
      <c r="E436" s="1"/>
      <c r="F436" s="1" t="s">
        <v>19</v>
      </c>
      <c r="G436" s="8" t="s">
        <v>619</v>
      </c>
      <c r="H436" s="18">
        <v>8828840014</v>
      </c>
      <c r="I436" s="10" t="s">
        <v>64</v>
      </c>
      <c r="J436" s="18" t="s">
        <v>620</v>
      </c>
      <c r="K436" s="8" t="s">
        <v>63</v>
      </c>
      <c r="L436" s="33" t="s">
        <v>35</v>
      </c>
      <c r="M436" s="8" t="s">
        <v>471</v>
      </c>
      <c r="N436" s="8" t="s">
        <v>1108</v>
      </c>
      <c r="O436" s="6">
        <v>590</v>
      </c>
      <c r="P436" s="2" t="s">
        <v>638</v>
      </c>
      <c r="Q436" s="12" t="str">
        <f t="shared" si="90"/>
        <v>26</v>
      </c>
      <c r="R436" s="12" t="str">
        <f t="shared" si="91"/>
        <v>06</v>
      </c>
      <c r="S436" s="6" t="s">
        <v>140</v>
      </c>
      <c r="T436" s="6" t="s">
        <v>474</v>
      </c>
      <c r="U436" s="18" t="s">
        <v>510</v>
      </c>
      <c r="V436" s="6" t="s">
        <v>511</v>
      </c>
      <c r="W436" s="1" t="s">
        <v>259</v>
      </c>
      <c r="X436" s="5">
        <v>46219</v>
      </c>
      <c r="Y436" s="1">
        <f t="shared" si="92"/>
        <v>0</v>
      </c>
      <c r="Z436" s="6" t="s">
        <v>49</v>
      </c>
      <c r="AA436" s="3"/>
      <c r="AB436" s="3"/>
      <c r="AD436" s="133" t="str">
        <f t="shared" si="87"/>
        <v>Closed In July</v>
      </c>
    </row>
    <row r="437" spans="1:30" hidden="1">
      <c r="A437" s="21">
        <v>46219</v>
      </c>
      <c r="B437" s="1">
        <v>2026</v>
      </c>
      <c r="C437" s="33" t="s">
        <v>62</v>
      </c>
      <c r="D437" s="34" t="s">
        <v>123</v>
      </c>
      <c r="E437" s="1"/>
      <c r="F437" s="1" t="s">
        <v>19</v>
      </c>
      <c r="G437" s="8" t="s">
        <v>619</v>
      </c>
      <c r="H437" s="18">
        <v>8828840014</v>
      </c>
      <c r="I437" s="10" t="s">
        <v>64</v>
      </c>
      <c r="J437" s="18" t="s">
        <v>620</v>
      </c>
      <c r="K437" s="8" t="s">
        <v>63</v>
      </c>
      <c r="L437" s="33" t="s">
        <v>35</v>
      </c>
      <c r="M437" s="8" t="s">
        <v>471</v>
      </c>
      <c r="N437" s="8" t="s">
        <v>1108</v>
      </c>
      <c r="O437" s="6">
        <v>590</v>
      </c>
      <c r="P437" s="2" t="s">
        <v>639</v>
      </c>
      <c r="Q437" s="12" t="str">
        <f t="shared" si="90"/>
        <v>26</v>
      </c>
      <c r="R437" s="12" t="str">
        <f t="shared" si="91"/>
        <v>06</v>
      </c>
      <c r="S437" s="6" t="s">
        <v>140</v>
      </c>
      <c r="T437" s="6" t="s">
        <v>474</v>
      </c>
      <c r="U437" s="18" t="s">
        <v>510</v>
      </c>
      <c r="V437" s="6" t="s">
        <v>511</v>
      </c>
      <c r="W437" s="1" t="s">
        <v>259</v>
      </c>
      <c r="X437" s="5">
        <v>46219</v>
      </c>
      <c r="Y437" s="1">
        <f t="shared" si="92"/>
        <v>0</v>
      </c>
      <c r="Z437" s="6" t="s">
        <v>49</v>
      </c>
      <c r="AA437" s="3"/>
      <c r="AB437" s="3"/>
      <c r="AD437" s="133" t="str">
        <f t="shared" si="87"/>
        <v>Closed In July</v>
      </c>
    </row>
    <row r="438" spans="1:30" hidden="1">
      <c r="A438" s="21">
        <v>46219</v>
      </c>
      <c r="B438" s="1">
        <v>2026</v>
      </c>
      <c r="C438" s="33" t="s">
        <v>62</v>
      </c>
      <c r="D438" s="34" t="s">
        <v>123</v>
      </c>
      <c r="E438" s="1"/>
      <c r="F438" s="1" t="s">
        <v>19</v>
      </c>
      <c r="G438" s="8" t="s">
        <v>619</v>
      </c>
      <c r="H438" s="18">
        <v>8828840014</v>
      </c>
      <c r="I438" s="10" t="s">
        <v>64</v>
      </c>
      <c r="J438" s="18" t="s">
        <v>620</v>
      </c>
      <c r="K438" s="8" t="s">
        <v>63</v>
      </c>
      <c r="L438" s="33" t="s">
        <v>35</v>
      </c>
      <c r="M438" s="8" t="s">
        <v>471</v>
      </c>
      <c r="N438" s="8" t="s">
        <v>1108</v>
      </c>
      <c r="O438" s="6">
        <v>590</v>
      </c>
      <c r="P438" s="2" t="s">
        <v>640</v>
      </c>
      <c r="Q438" s="12" t="str">
        <f t="shared" si="90"/>
        <v>26</v>
      </c>
      <c r="R438" s="12" t="str">
        <f t="shared" si="91"/>
        <v>06</v>
      </c>
      <c r="S438" s="6" t="s">
        <v>140</v>
      </c>
      <c r="T438" s="6" t="s">
        <v>474</v>
      </c>
      <c r="U438" s="18" t="s">
        <v>510</v>
      </c>
      <c r="V438" s="6" t="s">
        <v>511</v>
      </c>
      <c r="W438" s="1" t="s">
        <v>259</v>
      </c>
      <c r="X438" s="5">
        <v>46219</v>
      </c>
      <c r="Y438" s="1">
        <f t="shared" si="92"/>
        <v>0</v>
      </c>
      <c r="Z438" s="6" t="s">
        <v>49</v>
      </c>
      <c r="AA438" s="3"/>
      <c r="AB438" s="3"/>
      <c r="AD438" s="133" t="str">
        <f t="shared" si="87"/>
        <v>Closed In July</v>
      </c>
    </row>
    <row r="439" spans="1:30" hidden="1">
      <c r="A439" s="21">
        <v>46219</v>
      </c>
      <c r="B439" s="1">
        <v>2026</v>
      </c>
      <c r="C439" s="33" t="s">
        <v>62</v>
      </c>
      <c r="D439" s="34" t="s">
        <v>123</v>
      </c>
      <c r="E439" s="1"/>
      <c r="F439" s="1" t="s">
        <v>19</v>
      </c>
      <c r="G439" s="8" t="s">
        <v>619</v>
      </c>
      <c r="H439" s="18">
        <v>8828840014</v>
      </c>
      <c r="I439" s="10" t="s">
        <v>64</v>
      </c>
      <c r="J439" s="18" t="s">
        <v>620</v>
      </c>
      <c r="K439" s="8" t="s">
        <v>63</v>
      </c>
      <c r="L439" s="33" t="s">
        <v>35</v>
      </c>
      <c r="M439" s="8" t="s">
        <v>471</v>
      </c>
      <c r="N439" s="8" t="s">
        <v>1108</v>
      </c>
      <c r="O439" s="6">
        <v>590</v>
      </c>
      <c r="P439" s="2" t="s">
        <v>641</v>
      </c>
      <c r="Q439" s="12" t="str">
        <f t="shared" si="90"/>
        <v>26</v>
      </c>
      <c r="R439" s="12" t="str">
        <f t="shared" si="91"/>
        <v>06</v>
      </c>
      <c r="S439" s="6" t="s">
        <v>140</v>
      </c>
      <c r="T439" s="6" t="s">
        <v>474</v>
      </c>
      <c r="U439" s="18" t="s">
        <v>510</v>
      </c>
      <c r="V439" s="6" t="s">
        <v>511</v>
      </c>
      <c r="W439" s="1" t="s">
        <v>259</v>
      </c>
      <c r="X439" s="5">
        <v>46219</v>
      </c>
      <c r="Y439" s="1">
        <f t="shared" si="92"/>
        <v>0</v>
      </c>
      <c r="Z439" s="6" t="s">
        <v>49</v>
      </c>
      <c r="AA439" s="3"/>
      <c r="AB439" s="3"/>
      <c r="AD439" s="133" t="str">
        <f t="shared" si="87"/>
        <v>Closed In July</v>
      </c>
    </row>
    <row r="440" spans="1:30" hidden="1">
      <c r="A440" s="21">
        <v>46219</v>
      </c>
      <c r="B440" s="1">
        <v>2026</v>
      </c>
      <c r="C440" s="33" t="s">
        <v>62</v>
      </c>
      <c r="D440" s="34" t="s">
        <v>123</v>
      </c>
      <c r="E440" s="1"/>
      <c r="F440" s="1" t="s">
        <v>19</v>
      </c>
      <c r="G440" s="8" t="s">
        <v>619</v>
      </c>
      <c r="H440" s="18">
        <v>8828840014</v>
      </c>
      <c r="I440" s="10" t="s">
        <v>64</v>
      </c>
      <c r="J440" s="18" t="s">
        <v>620</v>
      </c>
      <c r="K440" s="8" t="s">
        <v>63</v>
      </c>
      <c r="L440" s="33" t="s">
        <v>35</v>
      </c>
      <c r="M440" s="8" t="s">
        <v>471</v>
      </c>
      <c r="N440" s="8" t="s">
        <v>1108</v>
      </c>
      <c r="O440" s="6">
        <v>590</v>
      </c>
      <c r="P440" s="2" t="s">
        <v>642</v>
      </c>
      <c r="Q440" s="12" t="str">
        <f t="shared" si="90"/>
        <v>26</v>
      </c>
      <c r="R440" s="12" t="str">
        <f t="shared" si="91"/>
        <v>06</v>
      </c>
      <c r="S440" s="6" t="s">
        <v>140</v>
      </c>
      <c r="T440" s="6" t="s">
        <v>474</v>
      </c>
      <c r="U440" s="18" t="s">
        <v>510</v>
      </c>
      <c r="V440" s="6" t="s">
        <v>511</v>
      </c>
      <c r="W440" s="1" t="s">
        <v>259</v>
      </c>
      <c r="X440" s="5">
        <v>46219</v>
      </c>
      <c r="Y440" s="1">
        <f t="shared" si="92"/>
        <v>0</v>
      </c>
      <c r="Z440" s="6" t="s">
        <v>49</v>
      </c>
      <c r="AA440" s="3"/>
      <c r="AB440" s="3"/>
      <c r="AD440" s="133" t="str">
        <f t="shared" si="87"/>
        <v>Closed In July</v>
      </c>
    </row>
    <row r="441" spans="1:30" hidden="1">
      <c r="A441" s="21">
        <v>46219</v>
      </c>
      <c r="B441" s="1">
        <v>2026</v>
      </c>
      <c r="C441" s="33" t="s">
        <v>62</v>
      </c>
      <c r="D441" s="34" t="s">
        <v>123</v>
      </c>
      <c r="E441" s="1"/>
      <c r="F441" s="1" t="s">
        <v>19</v>
      </c>
      <c r="G441" s="8" t="s">
        <v>619</v>
      </c>
      <c r="H441" s="18">
        <v>8828840014</v>
      </c>
      <c r="I441" s="10" t="s">
        <v>64</v>
      </c>
      <c r="J441" s="18" t="s">
        <v>620</v>
      </c>
      <c r="K441" s="8" t="s">
        <v>63</v>
      </c>
      <c r="L441" s="33" t="s">
        <v>35</v>
      </c>
      <c r="M441" s="8" t="s">
        <v>471</v>
      </c>
      <c r="N441" s="8" t="s">
        <v>1108</v>
      </c>
      <c r="O441" s="6">
        <v>590</v>
      </c>
      <c r="P441" s="2" t="s">
        <v>643</v>
      </c>
      <c r="Q441" s="12" t="str">
        <f t="shared" si="90"/>
        <v>26</v>
      </c>
      <c r="R441" s="12" t="str">
        <f t="shared" si="91"/>
        <v>06</v>
      </c>
      <c r="S441" s="6" t="s">
        <v>140</v>
      </c>
      <c r="T441" s="6" t="s">
        <v>474</v>
      </c>
      <c r="U441" s="18" t="s">
        <v>510</v>
      </c>
      <c r="V441" s="6" t="s">
        <v>511</v>
      </c>
      <c r="W441" s="1" t="s">
        <v>259</v>
      </c>
      <c r="X441" s="5">
        <v>46219</v>
      </c>
      <c r="Y441" s="1">
        <f t="shared" si="92"/>
        <v>0</v>
      </c>
      <c r="Z441" s="6" t="s">
        <v>49</v>
      </c>
      <c r="AA441" s="3"/>
      <c r="AB441" s="3"/>
      <c r="AD441" s="133" t="str">
        <f t="shared" si="87"/>
        <v>Closed In July</v>
      </c>
    </row>
    <row r="442" spans="1:30" hidden="1">
      <c r="A442" s="21">
        <v>46219</v>
      </c>
      <c r="B442" s="1">
        <v>2026</v>
      </c>
      <c r="C442" s="33" t="s">
        <v>62</v>
      </c>
      <c r="D442" s="34" t="s">
        <v>123</v>
      </c>
      <c r="E442" s="1"/>
      <c r="F442" s="1" t="s">
        <v>19</v>
      </c>
      <c r="G442" s="8" t="s">
        <v>619</v>
      </c>
      <c r="H442" s="18">
        <v>8828840014</v>
      </c>
      <c r="I442" s="10" t="s">
        <v>64</v>
      </c>
      <c r="J442" s="18" t="s">
        <v>620</v>
      </c>
      <c r="K442" s="8" t="s">
        <v>63</v>
      </c>
      <c r="L442" s="33" t="s">
        <v>35</v>
      </c>
      <c r="M442" s="8" t="s">
        <v>471</v>
      </c>
      <c r="N442" s="8" t="s">
        <v>1108</v>
      </c>
      <c r="O442" s="6">
        <v>590</v>
      </c>
      <c r="P442" s="2" t="s">
        <v>644</v>
      </c>
      <c r="Q442" s="12" t="str">
        <f t="shared" si="90"/>
        <v>26</v>
      </c>
      <c r="R442" s="12" t="str">
        <f t="shared" si="91"/>
        <v>06</v>
      </c>
      <c r="S442" s="6" t="s">
        <v>140</v>
      </c>
      <c r="T442" s="6" t="s">
        <v>474</v>
      </c>
      <c r="U442" s="18" t="s">
        <v>510</v>
      </c>
      <c r="V442" s="6" t="s">
        <v>511</v>
      </c>
      <c r="W442" s="1" t="s">
        <v>259</v>
      </c>
      <c r="X442" s="5">
        <v>46219</v>
      </c>
      <c r="Y442" s="1">
        <f t="shared" si="92"/>
        <v>0</v>
      </c>
      <c r="Z442" s="6" t="s">
        <v>49</v>
      </c>
      <c r="AA442" s="3"/>
      <c r="AB442" s="3"/>
      <c r="AD442" s="133" t="str">
        <f t="shared" si="87"/>
        <v>Closed In July</v>
      </c>
    </row>
    <row r="443" spans="1:30" hidden="1">
      <c r="A443" s="21">
        <v>46219</v>
      </c>
      <c r="B443" s="1">
        <v>2026</v>
      </c>
      <c r="C443" s="33" t="s">
        <v>62</v>
      </c>
      <c r="D443" s="34" t="s">
        <v>123</v>
      </c>
      <c r="E443" s="1"/>
      <c r="F443" s="1" t="s">
        <v>19</v>
      </c>
      <c r="G443" s="8" t="s">
        <v>619</v>
      </c>
      <c r="H443" s="18">
        <v>8828840014</v>
      </c>
      <c r="I443" s="10" t="s">
        <v>64</v>
      </c>
      <c r="J443" s="18" t="s">
        <v>620</v>
      </c>
      <c r="K443" s="8" t="s">
        <v>63</v>
      </c>
      <c r="L443" s="33" t="s">
        <v>35</v>
      </c>
      <c r="M443" s="8" t="s">
        <v>471</v>
      </c>
      <c r="N443" s="8" t="s">
        <v>1108</v>
      </c>
      <c r="O443" s="6">
        <v>590</v>
      </c>
      <c r="P443" s="2" t="s">
        <v>645</v>
      </c>
      <c r="Q443" s="12" t="str">
        <f t="shared" si="90"/>
        <v>26</v>
      </c>
      <c r="R443" s="12" t="str">
        <f t="shared" si="91"/>
        <v>06</v>
      </c>
      <c r="S443" s="6" t="s">
        <v>140</v>
      </c>
      <c r="T443" s="6" t="s">
        <v>474</v>
      </c>
      <c r="U443" s="18" t="s">
        <v>510</v>
      </c>
      <c r="V443" s="6" t="s">
        <v>511</v>
      </c>
      <c r="W443" s="1" t="s">
        <v>259</v>
      </c>
      <c r="X443" s="5">
        <v>46219</v>
      </c>
      <c r="Y443" s="1">
        <f t="shared" si="92"/>
        <v>0</v>
      </c>
      <c r="Z443" s="6" t="s">
        <v>49</v>
      </c>
      <c r="AA443" s="3"/>
      <c r="AB443" s="3"/>
      <c r="AD443" s="133" t="str">
        <f t="shared" si="87"/>
        <v>Closed In July</v>
      </c>
    </row>
    <row r="444" spans="1:30" hidden="1">
      <c r="A444" s="21">
        <v>46219</v>
      </c>
      <c r="B444" s="1">
        <v>2026</v>
      </c>
      <c r="C444" s="33" t="s">
        <v>62</v>
      </c>
      <c r="D444" s="34" t="s">
        <v>123</v>
      </c>
      <c r="E444" s="1"/>
      <c r="F444" s="1" t="s">
        <v>19</v>
      </c>
      <c r="G444" s="8" t="s">
        <v>619</v>
      </c>
      <c r="H444" s="18">
        <v>8828840014</v>
      </c>
      <c r="I444" s="10" t="s">
        <v>64</v>
      </c>
      <c r="J444" s="18" t="s">
        <v>620</v>
      </c>
      <c r="K444" s="8" t="s">
        <v>63</v>
      </c>
      <c r="L444" s="33" t="s">
        <v>35</v>
      </c>
      <c r="M444" s="8" t="s">
        <v>471</v>
      </c>
      <c r="N444" s="8" t="s">
        <v>1108</v>
      </c>
      <c r="O444" s="6">
        <v>590</v>
      </c>
      <c r="P444" s="2" t="s">
        <v>646</v>
      </c>
      <c r="Q444" s="12" t="str">
        <f t="shared" si="90"/>
        <v>26</v>
      </c>
      <c r="R444" s="12" t="str">
        <f t="shared" si="91"/>
        <v>06</v>
      </c>
      <c r="S444" s="6" t="s">
        <v>140</v>
      </c>
      <c r="T444" s="6" t="s">
        <v>474</v>
      </c>
      <c r="U444" s="18" t="s">
        <v>510</v>
      </c>
      <c r="V444" s="6" t="s">
        <v>511</v>
      </c>
      <c r="W444" s="1" t="s">
        <v>259</v>
      </c>
      <c r="X444" s="5">
        <v>46219</v>
      </c>
      <c r="Y444" s="1">
        <f t="shared" si="92"/>
        <v>0</v>
      </c>
      <c r="Z444" s="6" t="s">
        <v>49</v>
      </c>
      <c r="AA444" s="3"/>
      <c r="AB444" s="3"/>
      <c r="AD444" s="133" t="str">
        <f t="shared" si="87"/>
        <v>Closed In July</v>
      </c>
    </row>
    <row r="445" spans="1:30" hidden="1">
      <c r="A445" s="21">
        <v>46219</v>
      </c>
      <c r="B445" s="1">
        <v>2026</v>
      </c>
      <c r="C445" s="33" t="s">
        <v>62</v>
      </c>
      <c r="D445" s="34" t="s">
        <v>123</v>
      </c>
      <c r="E445" s="1"/>
      <c r="F445" s="1" t="s">
        <v>19</v>
      </c>
      <c r="G445" s="8" t="s">
        <v>619</v>
      </c>
      <c r="H445" s="18">
        <v>8828840014</v>
      </c>
      <c r="I445" s="10" t="s">
        <v>64</v>
      </c>
      <c r="J445" s="18" t="s">
        <v>620</v>
      </c>
      <c r="K445" s="8" t="s">
        <v>63</v>
      </c>
      <c r="L445" s="33" t="s">
        <v>35</v>
      </c>
      <c r="M445" s="8" t="s">
        <v>471</v>
      </c>
      <c r="N445" s="8" t="s">
        <v>1108</v>
      </c>
      <c r="O445" s="6">
        <v>590</v>
      </c>
      <c r="P445" s="2" t="s">
        <v>647</v>
      </c>
      <c r="Q445" s="12" t="str">
        <f t="shared" si="90"/>
        <v>26</v>
      </c>
      <c r="R445" s="12" t="str">
        <f t="shared" si="91"/>
        <v>06</v>
      </c>
      <c r="S445" s="6" t="s">
        <v>140</v>
      </c>
      <c r="T445" s="6" t="s">
        <v>474</v>
      </c>
      <c r="U445" s="18" t="s">
        <v>510</v>
      </c>
      <c r="V445" s="6" t="s">
        <v>511</v>
      </c>
      <c r="W445" s="1" t="s">
        <v>259</v>
      </c>
      <c r="X445" s="5">
        <v>46219</v>
      </c>
      <c r="Y445" s="1">
        <f t="shared" si="92"/>
        <v>0</v>
      </c>
      <c r="Z445" s="6" t="s">
        <v>49</v>
      </c>
      <c r="AA445" s="3"/>
      <c r="AB445" s="3"/>
      <c r="AD445" s="133" t="str">
        <f t="shared" si="87"/>
        <v>Closed In July</v>
      </c>
    </row>
    <row r="446" spans="1:30" hidden="1">
      <c r="A446" s="21">
        <v>46219</v>
      </c>
      <c r="B446" s="1">
        <v>2026</v>
      </c>
      <c r="C446" s="33" t="s">
        <v>62</v>
      </c>
      <c r="D446" s="34" t="s">
        <v>123</v>
      </c>
      <c r="E446" s="1"/>
      <c r="F446" s="1" t="s">
        <v>19</v>
      </c>
      <c r="G446" s="8" t="s">
        <v>619</v>
      </c>
      <c r="H446" s="18">
        <v>8828840014</v>
      </c>
      <c r="I446" s="10" t="s">
        <v>64</v>
      </c>
      <c r="J446" s="18" t="s">
        <v>620</v>
      </c>
      <c r="K446" s="8" t="s">
        <v>63</v>
      </c>
      <c r="L446" s="33" t="s">
        <v>35</v>
      </c>
      <c r="M446" s="8" t="s">
        <v>471</v>
      </c>
      <c r="N446" s="8" t="s">
        <v>1108</v>
      </c>
      <c r="O446" s="6">
        <v>590</v>
      </c>
      <c r="P446" s="2" t="s">
        <v>648</v>
      </c>
      <c r="Q446" s="12" t="str">
        <f t="shared" si="90"/>
        <v>26</v>
      </c>
      <c r="R446" s="12" t="str">
        <f t="shared" si="91"/>
        <v>06</v>
      </c>
      <c r="S446" s="6" t="s">
        <v>140</v>
      </c>
      <c r="T446" s="6" t="s">
        <v>474</v>
      </c>
      <c r="U446" s="18" t="s">
        <v>510</v>
      </c>
      <c r="V446" s="6" t="s">
        <v>511</v>
      </c>
      <c r="W446" s="1" t="s">
        <v>259</v>
      </c>
      <c r="X446" s="5">
        <v>46219</v>
      </c>
      <c r="Y446" s="1">
        <f t="shared" si="92"/>
        <v>0</v>
      </c>
      <c r="Z446" s="6" t="s">
        <v>49</v>
      </c>
      <c r="AA446" s="3"/>
      <c r="AB446" s="3"/>
      <c r="AD446" s="133" t="str">
        <f t="shared" si="87"/>
        <v>Closed In July</v>
      </c>
    </row>
    <row r="447" spans="1:30" hidden="1">
      <c r="A447" s="21">
        <v>46219</v>
      </c>
      <c r="B447" s="1">
        <v>2026</v>
      </c>
      <c r="C447" s="33" t="s">
        <v>62</v>
      </c>
      <c r="D447" s="34" t="s">
        <v>123</v>
      </c>
      <c r="E447" s="1"/>
      <c r="F447" s="1" t="s">
        <v>19</v>
      </c>
      <c r="G447" s="8" t="s">
        <v>619</v>
      </c>
      <c r="H447" s="18">
        <v>8828840014</v>
      </c>
      <c r="I447" s="10" t="s">
        <v>64</v>
      </c>
      <c r="J447" s="18" t="s">
        <v>620</v>
      </c>
      <c r="K447" s="8" t="s">
        <v>63</v>
      </c>
      <c r="L447" s="33" t="s">
        <v>35</v>
      </c>
      <c r="M447" s="8" t="s">
        <v>471</v>
      </c>
      <c r="N447" s="8" t="s">
        <v>1108</v>
      </c>
      <c r="O447" s="6">
        <v>590</v>
      </c>
      <c r="P447" s="2" t="s">
        <v>649</v>
      </c>
      <c r="Q447" s="12" t="str">
        <f t="shared" si="90"/>
        <v>26</v>
      </c>
      <c r="R447" s="12" t="str">
        <f t="shared" si="91"/>
        <v>06</v>
      </c>
      <c r="S447" s="6" t="s">
        <v>140</v>
      </c>
      <c r="T447" s="6" t="s">
        <v>474</v>
      </c>
      <c r="U447" s="18" t="s">
        <v>510</v>
      </c>
      <c r="V447" s="6" t="s">
        <v>511</v>
      </c>
      <c r="W447" s="1" t="s">
        <v>259</v>
      </c>
      <c r="X447" s="5">
        <v>46219</v>
      </c>
      <c r="Y447" s="1">
        <f t="shared" si="92"/>
        <v>0</v>
      </c>
      <c r="Z447" s="6" t="s">
        <v>49</v>
      </c>
      <c r="AA447" s="3"/>
      <c r="AB447" s="3"/>
      <c r="AD447" s="133" t="str">
        <f t="shared" si="87"/>
        <v>Closed In July</v>
      </c>
    </row>
    <row r="448" spans="1:30" hidden="1">
      <c r="A448" s="21">
        <v>46219</v>
      </c>
      <c r="B448" s="1">
        <v>2026</v>
      </c>
      <c r="C448" s="33" t="s">
        <v>62</v>
      </c>
      <c r="D448" s="34" t="s">
        <v>123</v>
      </c>
      <c r="E448" s="1"/>
      <c r="F448" s="1" t="s">
        <v>19</v>
      </c>
      <c r="G448" s="8" t="s">
        <v>619</v>
      </c>
      <c r="H448" s="18">
        <v>8828840014</v>
      </c>
      <c r="I448" s="10" t="s">
        <v>64</v>
      </c>
      <c r="J448" s="18" t="s">
        <v>620</v>
      </c>
      <c r="K448" s="8" t="s">
        <v>63</v>
      </c>
      <c r="L448" s="33" t="s">
        <v>35</v>
      </c>
      <c r="M448" s="8" t="s">
        <v>471</v>
      </c>
      <c r="N448" s="8" t="s">
        <v>1108</v>
      </c>
      <c r="O448" s="6">
        <v>590</v>
      </c>
      <c r="P448" s="2" t="s">
        <v>650</v>
      </c>
      <c r="Q448" s="12" t="str">
        <f t="shared" si="90"/>
        <v>26</v>
      </c>
      <c r="R448" s="12" t="str">
        <f t="shared" si="91"/>
        <v>06</v>
      </c>
      <c r="S448" s="6" t="s">
        <v>140</v>
      </c>
      <c r="T448" s="6" t="s">
        <v>474</v>
      </c>
      <c r="U448" s="18" t="s">
        <v>510</v>
      </c>
      <c r="V448" s="6" t="s">
        <v>511</v>
      </c>
      <c r="W448" s="1" t="s">
        <v>259</v>
      </c>
      <c r="X448" s="5">
        <v>46219</v>
      </c>
      <c r="Y448" s="1">
        <f t="shared" si="92"/>
        <v>0</v>
      </c>
      <c r="Z448" s="6" t="s">
        <v>49</v>
      </c>
      <c r="AA448" s="3"/>
      <c r="AB448" s="3"/>
      <c r="AD448" s="133" t="str">
        <f t="shared" si="87"/>
        <v>Closed In July</v>
      </c>
    </row>
    <row r="449" spans="1:30" hidden="1">
      <c r="A449" s="21">
        <v>46219</v>
      </c>
      <c r="B449" s="1">
        <v>2026</v>
      </c>
      <c r="C449" s="33" t="s">
        <v>62</v>
      </c>
      <c r="D449" s="34" t="s">
        <v>123</v>
      </c>
      <c r="E449" s="1"/>
      <c r="F449" s="1" t="s">
        <v>19</v>
      </c>
      <c r="G449" s="8" t="s">
        <v>619</v>
      </c>
      <c r="H449" s="18">
        <v>8828840014</v>
      </c>
      <c r="I449" s="10" t="s">
        <v>64</v>
      </c>
      <c r="J449" s="18" t="s">
        <v>620</v>
      </c>
      <c r="K449" s="8" t="s">
        <v>63</v>
      </c>
      <c r="L449" s="33" t="s">
        <v>35</v>
      </c>
      <c r="M449" s="8" t="s">
        <v>471</v>
      </c>
      <c r="N449" s="8" t="s">
        <v>1108</v>
      </c>
      <c r="O449" s="6">
        <v>590</v>
      </c>
      <c r="P449" s="2" t="s">
        <v>651</v>
      </c>
      <c r="Q449" s="12" t="str">
        <f t="shared" si="90"/>
        <v>26</v>
      </c>
      <c r="R449" s="12" t="str">
        <f t="shared" si="91"/>
        <v>06</v>
      </c>
      <c r="S449" s="6" t="s">
        <v>140</v>
      </c>
      <c r="T449" s="6" t="s">
        <v>474</v>
      </c>
      <c r="U449" s="18" t="s">
        <v>510</v>
      </c>
      <c r="V449" s="6" t="s">
        <v>511</v>
      </c>
      <c r="W449" s="1" t="s">
        <v>259</v>
      </c>
      <c r="X449" s="5">
        <v>46219</v>
      </c>
      <c r="Y449" s="1">
        <f t="shared" si="92"/>
        <v>0</v>
      </c>
      <c r="Z449" s="6" t="s">
        <v>49</v>
      </c>
      <c r="AA449" s="3"/>
      <c r="AB449" s="3"/>
      <c r="AD449" s="133" t="str">
        <f t="shared" si="87"/>
        <v>Closed In July</v>
      </c>
    </row>
    <row r="450" spans="1:30" hidden="1">
      <c r="A450" s="21">
        <v>46219</v>
      </c>
      <c r="B450" s="1">
        <v>2026</v>
      </c>
      <c r="C450" s="33" t="s">
        <v>62</v>
      </c>
      <c r="D450" s="34" t="s">
        <v>123</v>
      </c>
      <c r="E450" s="1"/>
      <c r="F450" s="1" t="s">
        <v>19</v>
      </c>
      <c r="G450" s="8" t="s">
        <v>619</v>
      </c>
      <c r="H450" s="18">
        <v>8828840014</v>
      </c>
      <c r="I450" s="10" t="s">
        <v>64</v>
      </c>
      <c r="J450" s="18" t="s">
        <v>620</v>
      </c>
      <c r="K450" s="8" t="s">
        <v>63</v>
      </c>
      <c r="L450" s="33" t="s">
        <v>35</v>
      </c>
      <c r="M450" s="8" t="s">
        <v>471</v>
      </c>
      <c r="N450" s="8" t="s">
        <v>1108</v>
      </c>
      <c r="O450" s="6">
        <v>590</v>
      </c>
      <c r="P450" s="2" t="s">
        <v>652</v>
      </c>
      <c r="Q450" s="12" t="str">
        <f t="shared" si="90"/>
        <v>26</v>
      </c>
      <c r="R450" s="12" t="str">
        <f t="shared" si="91"/>
        <v>06</v>
      </c>
      <c r="S450" s="6" t="s">
        <v>140</v>
      </c>
      <c r="T450" s="6" t="s">
        <v>474</v>
      </c>
      <c r="U450" s="18" t="s">
        <v>510</v>
      </c>
      <c r="V450" s="6" t="s">
        <v>511</v>
      </c>
      <c r="W450" s="1" t="s">
        <v>259</v>
      </c>
      <c r="X450" s="5">
        <v>46219</v>
      </c>
      <c r="Y450" s="1">
        <f t="shared" si="92"/>
        <v>0</v>
      </c>
      <c r="Z450" s="6" t="s">
        <v>49</v>
      </c>
      <c r="AA450" s="3"/>
      <c r="AB450" s="3"/>
      <c r="AD450" s="133" t="str">
        <f t="shared" si="87"/>
        <v>Closed In July</v>
      </c>
    </row>
    <row r="451" spans="1:30" hidden="1">
      <c r="A451" s="21">
        <v>46219</v>
      </c>
      <c r="B451" s="1">
        <v>2026</v>
      </c>
      <c r="C451" s="33" t="s">
        <v>62</v>
      </c>
      <c r="D451" s="34" t="s">
        <v>123</v>
      </c>
      <c r="E451" s="1"/>
      <c r="F451" s="1" t="s">
        <v>19</v>
      </c>
      <c r="G451" s="8" t="s">
        <v>619</v>
      </c>
      <c r="H451" s="18">
        <v>8828840014</v>
      </c>
      <c r="I451" s="10" t="s">
        <v>64</v>
      </c>
      <c r="J451" s="18" t="s">
        <v>620</v>
      </c>
      <c r="K451" s="8" t="s">
        <v>63</v>
      </c>
      <c r="L451" s="33" t="s">
        <v>35</v>
      </c>
      <c r="M451" s="8" t="s">
        <v>471</v>
      </c>
      <c r="N451" s="8" t="s">
        <v>1108</v>
      </c>
      <c r="O451" s="6">
        <v>590</v>
      </c>
      <c r="P451" s="2" t="s">
        <v>653</v>
      </c>
      <c r="Q451" s="12" t="str">
        <f t="shared" si="90"/>
        <v>26</v>
      </c>
      <c r="R451" s="12" t="str">
        <f t="shared" si="91"/>
        <v>06</v>
      </c>
      <c r="S451" s="6" t="s">
        <v>140</v>
      </c>
      <c r="T451" s="6" t="s">
        <v>474</v>
      </c>
      <c r="U451" s="18" t="s">
        <v>510</v>
      </c>
      <c r="V451" s="6" t="s">
        <v>511</v>
      </c>
      <c r="W451" s="1" t="s">
        <v>259</v>
      </c>
      <c r="X451" s="5">
        <v>46219</v>
      </c>
      <c r="Y451" s="1">
        <f t="shared" si="92"/>
        <v>0</v>
      </c>
      <c r="Z451" s="6" t="s">
        <v>49</v>
      </c>
      <c r="AA451" s="3"/>
      <c r="AB451" s="3"/>
      <c r="AD451" s="133" t="str">
        <f t="shared" ref="AD451:AD514" si="93">IF(AND(F451="Closed",X451&gt;=DATE(2026,7,1),X451&lt;=DATE(2026,7,31)),"Closed In July","Other")</f>
        <v>Closed In July</v>
      </c>
    </row>
    <row r="452" spans="1:30" hidden="1">
      <c r="A452" s="21">
        <v>46219</v>
      </c>
      <c r="B452" s="1">
        <v>2026</v>
      </c>
      <c r="C452" s="33" t="s">
        <v>62</v>
      </c>
      <c r="D452" s="34" t="s">
        <v>123</v>
      </c>
      <c r="E452" s="1"/>
      <c r="F452" s="1" t="s">
        <v>19</v>
      </c>
      <c r="G452" s="8" t="s">
        <v>619</v>
      </c>
      <c r="H452" s="18">
        <v>8828840014</v>
      </c>
      <c r="I452" s="10" t="s">
        <v>64</v>
      </c>
      <c r="J452" s="18" t="s">
        <v>620</v>
      </c>
      <c r="K452" s="8" t="s">
        <v>63</v>
      </c>
      <c r="L452" s="33" t="s">
        <v>35</v>
      </c>
      <c r="M452" s="8" t="s">
        <v>471</v>
      </c>
      <c r="N452" s="8" t="s">
        <v>1108</v>
      </c>
      <c r="O452" s="6">
        <v>590</v>
      </c>
      <c r="P452" s="2" t="s">
        <v>654</v>
      </c>
      <c r="Q452" s="12" t="str">
        <f t="shared" si="90"/>
        <v>26</v>
      </c>
      <c r="R452" s="12" t="str">
        <f t="shared" si="91"/>
        <v>06</v>
      </c>
      <c r="S452" s="6" t="s">
        <v>140</v>
      </c>
      <c r="T452" s="6" t="s">
        <v>474</v>
      </c>
      <c r="U452" s="18" t="s">
        <v>510</v>
      </c>
      <c r="V452" s="6" t="s">
        <v>511</v>
      </c>
      <c r="W452" s="1" t="s">
        <v>259</v>
      </c>
      <c r="X452" s="5">
        <v>46219</v>
      </c>
      <c r="Y452" s="1">
        <f t="shared" si="92"/>
        <v>0</v>
      </c>
      <c r="Z452" s="6" t="s">
        <v>49</v>
      </c>
      <c r="AA452" s="3"/>
      <c r="AB452" s="3"/>
      <c r="AD452" s="133" t="str">
        <f t="shared" si="93"/>
        <v>Closed In July</v>
      </c>
    </row>
    <row r="453" spans="1:30" hidden="1">
      <c r="A453" s="21">
        <v>46219</v>
      </c>
      <c r="B453" s="1">
        <v>2026</v>
      </c>
      <c r="C453" s="33" t="s">
        <v>62</v>
      </c>
      <c r="D453" s="34" t="s">
        <v>123</v>
      </c>
      <c r="E453" s="1"/>
      <c r="F453" s="1" t="s">
        <v>19</v>
      </c>
      <c r="G453" s="8" t="s">
        <v>619</v>
      </c>
      <c r="H453" s="18">
        <v>8828840014</v>
      </c>
      <c r="I453" s="10" t="s">
        <v>64</v>
      </c>
      <c r="J453" s="18" t="s">
        <v>620</v>
      </c>
      <c r="K453" s="8" t="s">
        <v>63</v>
      </c>
      <c r="L453" s="33" t="s">
        <v>35</v>
      </c>
      <c r="M453" s="8" t="s">
        <v>471</v>
      </c>
      <c r="N453" s="8" t="s">
        <v>1108</v>
      </c>
      <c r="O453" s="6">
        <v>590</v>
      </c>
      <c r="P453" s="2" t="s">
        <v>655</v>
      </c>
      <c r="Q453" s="12" t="str">
        <f t="shared" si="90"/>
        <v>26</v>
      </c>
      <c r="R453" s="12" t="str">
        <f t="shared" si="91"/>
        <v>06</v>
      </c>
      <c r="S453" s="6" t="s">
        <v>140</v>
      </c>
      <c r="T453" s="6" t="s">
        <v>474</v>
      </c>
      <c r="U453" s="18" t="s">
        <v>510</v>
      </c>
      <c r="V453" s="6" t="s">
        <v>511</v>
      </c>
      <c r="W453" s="1" t="s">
        <v>259</v>
      </c>
      <c r="X453" s="5">
        <v>46219</v>
      </c>
      <c r="Y453" s="1">
        <f t="shared" si="92"/>
        <v>0</v>
      </c>
      <c r="Z453" s="6" t="s">
        <v>49</v>
      </c>
      <c r="AA453" s="3"/>
      <c r="AB453" s="3"/>
      <c r="AD453" s="133" t="str">
        <f t="shared" si="93"/>
        <v>Closed In July</v>
      </c>
    </row>
    <row r="454" spans="1:30" hidden="1">
      <c r="A454" s="21">
        <v>46219</v>
      </c>
      <c r="B454" s="1">
        <v>2026</v>
      </c>
      <c r="C454" s="33" t="s">
        <v>62</v>
      </c>
      <c r="D454" s="34" t="s">
        <v>123</v>
      </c>
      <c r="E454" s="1"/>
      <c r="F454" s="1" t="s">
        <v>19</v>
      </c>
      <c r="G454" s="8" t="s">
        <v>619</v>
      </c>
      <c r="H454" s="18">
        <v>8828840014</v>
      </c>
      <c r="I454" s="10" t="s">
        <v>64</v>
      </c>
      <c r="J454" s="18" t="s">
        <v>620</v>
      </c>
      <c r="K454" s="8" t="s">
        <v>63</v>
      </c>
      <c r="L454" s="33" t="s">
        <v>35</v>
      </c>
      <c r="M454" s="8" t="s">
        <v>471</v>
      </c>
      <c r="N454" s="8" t="s">
        <v>1108</v>
      </c>
      <c r="O454" s="6">
        <v>590</v>
      </c>
      <c r="P454" s="2" t="s">
        <v>656</v>
      </c>
      <c r="Q454" s="12" t="str">
        <f t="shared" si="90"/>
        <v>26</v>
      </c>
      <c r="R454" s="12" t="str">
        <f t="shared" si="91"/>
        <v>06</v>
      </c>
      <c r="S454" s="6" t="s">
        <v>140</v>
      </c>
      <c r="T454" s="6" t="s">
        <v>474</v>
      </c>
      <c r="U454" s="18" t="s">
        <v>510</v>
      </c>
      <c r="V454" s="6" t="s">
        <v>511</v>
      </c>
      <c r="W454" s="1" t="s">
        <v>259</v>
      </c>
      <c r="X454" s="5">
        <v>46219</v>
      </c>
      <c r="Y454" s="1">
        <f t="shared" si="92"/>
        <v>0</v>
      </c>
      <c r="Z454" s="6" t="s">
        <v>49</v>
      </c>
      <c r="AA454" s="3"/>
      <c r="AB454" s="3"/>
      <c r="AD454" s="133" t="str">
        <f t="shared" si="93"/>
        <v>Closed In July</v>
      </c>
    </row>
    <row r="455" spans="1:30" hidden="1">
      <c r="A455" s="21">
        <v>46219</v>
      </c>
      <c r="B455" s="1">
        <v>2026</v>
      </c>
      <c r="C455" s="33" t="s">
        <v>62</v>
      </c>
      <c r="D455" s="34" t="s">
        <v>123</v>
      </c>
      <c r="E455" s="1"/>
      <c r="F455" s="1" t="s">
        <v>19</v>
      </c>
      <c r="G455" s="8" t="s">
        <v>619</v>
      </c>
      <c r="H455" s="18">
        <v>8828840014</v>
      </c>
      <c r="I455" s="10" t="s">
        <v>64</v>
      </c>
      <c r="J455" s="18" t="s">
        <v>620</v>
      </c>
      <c r="K455" s="8" t="s">
        <v>63</v>
      </c>
      <c r="L455" s="33" t="s">
        <v>35</v>
      </c>
      <c r="M455" s="8" t="s">
        <v>471</v>
      </c>
      <c r="N455" s="8" t="s">
        <v>1108</v>
      </c>
      <c r="O455" s="6">
        <v>590</v>
      </c>
      <c r="P455" s="2" t="s">
        <v>657</v>
      </c>
      <c r="Q455" s="12" t="str">
        <f t="shared" si="90"/>
        <v>26</v>
      </c>
      <c r="R455" s="12" t="str">
        <f t="shared" si="91"/>
        <v>06</v>
      </c>
      <c r="S455" s="6" t="s">
        <v>140</v>
      </c>
      <c r="T455" s="6" t="s">
        <v>474</v>
      </c>
      <c r="U455" s="18" t="s">
        <v>510</v>
      </c>
      <c r="V455" s="6" t="s">
        <v>511</v>
      </c>
      <c r="W455" s="1" t="s">
        <v>259</v>
      </c>
      <c r="X455" s="5">
        <v>46219</v>
      </c>
      <c r="Y455" s="1">
        <f t="shared" si="92"/>
        <v>0</v>
      </c>
      <c r="Z455" s="6" t="s">
        <v>49</v>
      </c>
      <c r="AA455" s="3"/>
      <c r="AB455" s="3"/>
      <c r="AD455" s="133" t="str">
        <f t="shared" si="93"/>
        <v>Closed In July</v>
      </c>
    </row>
    <row r="456" spans="1:30" hidden="1">
      <c r="A456" s="21">
        <v>46219</v>
      </c>
      <c r="B456" s="1">
        <v>2026</v>
      </c>
      <c r="C456" s="33" t="s">
        <v>62</v>
      </c>
      <c r="D456" s="34" t="s">
        <v>123</v>
      </c>
      <c r="E456" s="1"/>
      <c r="F456" s="1" t="s">
        <v>19</v>
      </c>
      <c r="G456" s="8" t="s">
        <v>619</v>
      </c>
      <c r="H456" s="18">
        <v>8828840014</v>
      </c>
      <c r="I456" s="10" t="s">
        <v>64</v>
      </c>
      <c r="J456" s="18" t="s">
        <v>620</v>
      </c>
      <c r="K456" s="8" t="s">
        <v>63</v>
      </c>
      <c r="L456" s="33" t="s">
        <v>35</v>
      </c>
      <c r="M456" s="8" t="s">
        <v>471</v>
      </c>
      <c r="N456" s="8" t="s">
        <v>1108</v>
      </c>
      <c r="O456" s="6">
        <v>590</v>
      </c>
      <c r="P456" s="2" t="s">
        <v>658</v>
      </c>
      <c r="Q456" s="12" t="str">
        <f t="shared" si="90"/>
        <v>26</v>
      </c>
      <c r="R456" s="12" t="str">
        <f t="shared" si="91"/>
        <v>06</v>
      </c>
      <c r="S456" s="6" t="s">
        <v>140</v>
      </c>
      <c r="T456" s="6" t="s">
        <v>474</v>
      </c>
      <c r="U456" s="18" t="s">
        <v>510</v>
      </c>
      <c r="V456" s="6" t="s">
        <v>511</v>
      </c>
      <c r="W456" s="1" t="s">
        <v>259</v>
      </c>
      <c r="X456" s="5">
        <v>46219</v>
      </c>
      <c r="Y456" s="1">
        <f t="shared" si="92"/>
        <v>0</v>
      </c>
      <c r="Z456" s="6" t="s">
        <v>49</v>
      </c>
      <c r="AA456" s="3"/>
      <c r="AB456" s="3"/>
      <c r="AD456" s="133" t="str">
        <f t="shared" si="93"/>
        <v>Closed In July</v>
      </c>
    </row>
    <row r="457" spans="1:30" hidden="1">
      <c r="A457" s="21">
        <v>46219</v>
      </c>
      <c r="B457" s="1">
        <v>2026</v>
      </c>
      <c r="C457" s="33" t="s">
        <v>62</v>
      </c>
      <c r="D457" s="34" t="s">
        <v>123</v>
      </c>
      <c r="E457" s="1"/>
      <c r="F457" s="1" t="s">
        <v>19</v>
      </c>
      <c r="G457" s="8" t="s">
        <v>619</v>
      </c>
      <c r="H457" s="18">
        <v>8828840014</v>
      </c>
      <c r="I457" s="10" t="s">
        <v>64</v>
      </c>
      <c r="J457" s="18" t="s">
        <v>620</v>
      </c>
      <c r="K457" s="8" t="s">
        <v>63</v>
      </c>
      <c r="L457" s="33" t="s">
        <v>35</v>
      </c>
      <c r="M457" s="8" t="s">
        <v>471</v>
      </c>
      <c r="N457" s="8" t="s">
        <v>1108</v>
      </c>
      <c r="O457" s="6">
        <v>590</v>
      </c>
      <c r="P457" s="2" t="s">
        <v>659</v>
      </c>
      <c r="Q457" s="12" t="str">
        <f t="shared" si="90"/>
        <v>26</v>
      </c>
      <c r="R457" s="12" t="str">
        <f t="shared" si="91"/>
        <v>06</v>
      </c>
      <c r="S457" s="6" t="s">
        <v>140</v>
      </c>
      <c r="T457" s="6" t="s">
        <v>474</v>
      </c>
      <c r="U457" s="18" t="s">
        <v>510</v>
      </c>
      <c r="V457" s="6" t="s">
        <v>511</v>
      </c>
      <c r="W457" s="1" t="s">
        <v>259</v>
      </c>
      <c r="X457" s="5">
        <v>46219</v>
      </c>
      <c r="Y457" s="1">
        <f t="shared" si="92"/>
        <v>0</v>
      </c>
      <c r="Z457" s="6" t="s">
        <v>49</v>
      </c>
      <c r="AA457" s="3"/>
      <c r="AB457" s="3"/>
      <c r="AD457" s="133" t="str">
        <f t="shared" si="93"/>
        <v>Closed In July</v>
      </c>
    </row>
    <row r="458" spans="1:30" hidden="1">
      <c r="A458" s="21">
        <v>46219</v>
      </c>
      <c r="B458" s="1">
        <v>2026</v>
      </c>
      <c r="C458" s="33" t="s">
        <v>62</v>
      </c>
      <c r="D458" s="34" t="s">
        <v>123</v>
      </c>
      <c r="E458" s="1"/>
      <c r="F458" s="1" t="s">
        <v>19</v>
      </c>
      <c r="G458" s="8" t="s">
        <v>619</v>
      </c>
      <c r="H458" s="18">
        <v>8828840014</v>
      </c>
      <c r="I458" s="10" t="s">
        <v>64</v>
      </c>
      <c r="J458" s="18" t="s">
        <v>620</v>
      </c>
      <c r="K458" s="8" t="s">
        <v>63</v>
      </c>
      <c r="L458" s="33" t="s">
        <v>35</v>
      </c>
      <c r="M458" s="8" t="s">
        <v>471</v>
      </c>
      <c r="N458" s="8" t="s">
        <v>1108</v>
      </c>
      <c r="O458" s="6">
        <v>590</v>
      </c>
      <c r="P458" s="2" t="s">
        <v>660</v>
      </c>
      <c r="Q458" s="12" t="str">
        <f t="shared" si="90"/>
        <v>26</v>
      </c>
      <c r="R458" s="12" t="str">
        <f t="shared" si="91"/>
        <v>06</v>
      </c>
      <c r="S458" s="6" t="s">
        <v>140</v>
      </c>
      <c r="T458" s="6" t="s">
        <v>474</v>
      </c>
      <c r="U458" s="18" t="s">
        <v>510</v>
      </c>
      <c r="V458" s="6" t="s">
        <v>511</v>
      </c>
      <c r="W458" s="1" t="s">
        <v>259</v>
      </c>
      <c r="X458" s="5">
        <v>46219</v>
      </c>
      <c r="Y458" s="1">
        <f t="shared" si="92"/>
        <v>0</v>
      </c>
      <c r="Z458" s="6" t="s">
        <v>49</v>
      </c>
      <c r="AA458" s="3"/>
      <c r="AB458" s="3"/>
      <c r="AD458" s="133" t="str">
        <f t="shared" si="93"/>
        <v>Closed In July</v>
      </c>
    </row>
    <row r="459" spans="1:30" hidden="1">
      <c r="A459" s="21">
        <v>46219</v>
      </c>
      <c r="B459" s="1">
        <v>2026</v>
      </c>
      <c r="C459" s="33" t="s">
        <v>62</v>
      </c>
      <c r="D459" s="34" t="s">
        <v>123</v>
      </c>
      <c r="E459" s="1"/>
      <c r="F459" s="1" t="s">
        <v>19</v>
      </c>
      <c r="G459" s="8" t="s">
        <v>619</v>
      </c>
      <c r="H459" s="18">
        <v>8828840014</v>
      </c>
      <c r="I459" s="10" t="s">
        <v>64</v>
      </c>
      <c r="J459" s="18" t="s">
        <v>620</v>
      </c>
      <c r="K459" s="8" t="s">
        <v>63</v>
      </c>
      <c r="L459" s="33" t="s">
        <v>35</v>
      </c>
      <c r="M459" s="8" t="s">
        <v>471</v>
      </c>
      <c r="N459" s="8" t="s">
        <v>1108</v>
      </c>
      <c r="O459" s="6">
        <v>590</v>
      </c>
      <c r="P459" s="2" t="s">
        <v>661</v>
      </c>
      <c r="Q459" s="12" t="str">
        <f t="shared" si="90"/>
        <v>26</v>
      </c>
      <c r="R459" s="12" t="str">
        <f t="shared" si="91"/>
        <v>06</v>
      </c>
      <c r="S459" s="6" t="s">
        <v>140</v>
      </c>
      <c r="T459" s="6" t="s">
        <v>474</v>
      </c>
      <c r="U459" s="18" t="s">
        <v>510</v>
      </c>
      <c r="V459" s="6" t="s">
        <v>511</v>
      </c>
      <c r="W459" s="1" t="s">
        <v>259</v>
      </c>
      <c r="X459" s="5">
        <v>46219</v>
      </c>
      <c r="Y459" s="1">
        <f t="shared" si="92"/>
        <v>0</v>
      </c>
      <c r="Z459" s="6" t="s">
        <v>49</v>
      </c>
      <c r="AA459" s="3"/>
      <c r="AB459" s="3"/>
      <c r="AD459" s="133" t="str">
        <f t="shared" si="93"/>
        <v>Closed In July</v>
      </c>
    </row>
    <row r="460" spans="1:30" hidden="1">
      <c r="A460" s="21">
        <v>46219</v>
      </c>
      <c r="B460" s="1">
        <v>2026</v>
      </c>
      <c r="C460" s="33" t="s">
        <v>62</v>
      </c>
      <c r="D460" s="34" t="s">
        <v>123</v>
      </c>
      <c r="E460" s="1"/>
      <c r="F460" s="1" t="s">
        <v>19</v>
      </c>
      <c r="G460" s="8" t="s">
        <v>619</v>
      </c>
      <c r="H460" s="18">
        <v>8828840014</v>
      </c>
      <c r="I460" s="10" t="s">
        <v>64</v>
      </c>
      <c r="J460" s="18" t="s">
        <v>620</v>
      </c>
      <c r="K460" s="8" t="s">
        <v>63</v>
      </c>
      <c r="L460" s="33" t="s">
        <v>35</v>
      </c>
      <c r="M460" s="8" t="s">
        <v>471</v>
      </c>
      <c r="N460" s="8" t="s">
        <v>1108</v>
      </c>
      <c r="O460" s="6">
        <v>590</v>
      </c>
      <c r="P460" s="2" t="s">
        <v>662</v>
      </c>
      <c r="Q460" s="12" t="str">
        <f t="shared" si="90"/>
        <v>26</v>
      </c>
      <c r="R460" s="12" t="str">
        <f t="shared" si="91"/>
        <v>06</v>
      </c>
      <c r="S460" s="6" t="s">
        <v>140</v>
      </c>
      <c r="T460" s="6" t="s">
        <v>474</v>
      </c>
      <c r="U460" s="18" t="s">
        <v>510</v>
      </c>
      <c r="V460" s="6" t="s">
        <v>511</v>
      </c>
      <c r="W460" s="1" t="s">
        <v>259</v>
      </c>
      <c r="X460" s="5">
        <v>46219</v>
      </c>
      <c r="Y460" s="1">
        <f t="shared" si="92"/>
        <v>0</v>
      </c>
      <c r="Z460" s="6" t="s">
        <v>49</v>
      </c>
      <c r="AA460" s="3"/>
      <c r="AB460" s="3"/>
      <c r="AD460" s="133" t="str">
        <f t="shared" si="93"/>
        <v>Closed In July</v>
      </c>
    </row>
    <row r="461" spans="1:30" hidden="1">
      <c r="A461" s="21">
        <v>46219</v>
      </c>
      <c r="B461" s="1">
        <v>2026</v>
      </c>
      <c r="C461" s="33" t="s">
        <v>62</v>
      </c>
      <c r="D461" s="34" t="s">
        <v>123</v>
      </c>
      <c r="E461" s="1"/>
      <c r="F461" s="1" t="s">
        <v>19</v>
      </c>
      <c r="G461" s="8" t="s">
        <v>619</v>
      </c>
      <c r="H461" s="18">
        <v>8828840014</v>
      </c>
      <c r="I461" s="10" t="s">
        <v>64</v>
      </c>
      <c r="J461" s="18" t="s">
        <v>620</v>
      </c>
      <c r="K461" s="8" t="s">
        <v>63</v>
      </c>
      <c r="L461" s="33" t="s">
        <v>35</v>
      </c>
      <c r="M461" s="8" t="s">
        <v>471</v>
      </c>
      <c r="N461" s="8" t="s">
        <v>1108</v>
      </c>
      <c r="O461" s="6">
        <v>590</v>
      </c>
      <c r="P461" s="2" t="s">
        <v>663</v>
      </c>
      <c r="Q461" s="12" t="str">
        <f t="shared" si="90"/>
        <v>26</v>
      </c>
      <c r="R461" s="12" t="str">
        <f t="shared" si="91"/>
        <v>06</v>
      </c>
      <c r="S461" s="6" t="s">
        <v>140</v>
      </c>
      <c r="T461" s="6" t="s">
        <v>474</v>
      </c>
      <c r="U461" s="18" t="s">
        <v>510</v>
      </c>
      <c r="V461" s="6" t="s">
        <v>511</v>
      </c>
      <c r="W461" s="1" t="s">
        <v>259</v>
      </c>
      <c r="X461" s="5">
        <v>46219</v>
      </c>
      <c r="Y461" s="1">
        <f t="shared" si="92"/>
        <v>0</v>
      </c>
      <c r="Z461" s="6" t="s">
        <v>49</v>
      </c>
      <c r="AA461" s="3"/>
      <c r="AB461" s="3"/>
      <c r="AD461" s="133" t="str">
        <f t="shared" si="93"/>
        <v>Closed In July</v>
      </c>
    </row>
    <row r="462" spans="1:30" hidden="1">
      <c r="A462" s="21">
        <v>46219</v>
      </c>
      <c r="B462" s="1">
        <v>2026</v>
      </c>
      <c r="C462" s="33" t="s">
        <v>62</v>
      </c>
      <c r="D462" s="34" t="s">
        <v>123</v>
      </c>
      <c r="E462" s="1"/>
      <c r="F462" s="1" t="s">
        <v>19</v>
      </c>
      <c r="G462" s="8" t="s">
        <v>619</v>
      </c>
      <c r="H462" s="18">
        <v>8828840014</v>
      </c>
      <c r="I462" s="10" t="s">
        <v>64</v>
      </c>
      <c r="J462" s="18" t="s">
        <v>620</v>
      </c>
      <c r="K462" s="8" t="s">
        <v>63</v>
      </c>
      <c r="L462" s="33" t="s">
        <v>35</v>
      </c>
      <c r="M462" s="8" t="s">
        <v>471</v>
      </c>
      <c r="N462" s="8" t="s">
        <v>1108</v>
      </c>
      <c r="O462" s="6">
        <v>590</v>
      </c>
      <c r="P462" s="2" t="s">
        <v>664</v>
      </c>
      <c r="Q462" s="12" t="str">
        <f t="shared" si="90"/>
        <v>26</v>
      </c>
      <c r="R462" s="12" t="str">
        <f t="shared" si="91"/>
        <v>06</v>
      </c>
      <c r="S462" s="6" t="s">
        <v>140</v>
      </c>
      <c r="T462" s="6" t="s">
        <v>474</v>
      </c>
      <c r="U462" s="18" t="s">
        <v>510</v>
      </c>
      <c r="V462" s="6" t="s">
        <v>511</v>
      </c>
      <c r="W462" s="1" t="s">
        <v>259</v>
      </c>
      <c r="X462" s="5">
        <v>46219</v>
      </c>
      <c r="Y462" s="1">
        <f t="shared" si="92"/>
        <v>0</v>
      </c>
      <c r="Z462" s="6" t="s">
        <v>49</v>
      </c>
      <c r="AA462" s="3"/>
      <c r="AB462" s="3"/>
      <c r="AD462" s="133" t="str">
        <f t="shared" si="93"/>
        <v>Closed In July</v>
      </c>
    </row>
    <row r="463" spans="1:30" hidden="1">
      <c r="A463" s="21">
        <v>46219</v>
      </c>
      <c r="B463" s="1">
        <v>2026</v>
      </c>
      <c r="C463" s="33" t="s">
        <v>62</v>
      </c>
      <c r="D463" s="34" t="s">
        <v>123</v>
      </c>
      <c r="E463" s="1"/>
      <c r="F463" s="1" t="s">
        <v>19</v>
      </c>
      <c r="G463" s="8" t="s">
        <v>619</v>
      </c>
      <c r="H463" s="18">
        <v>8828840014</v>
      </c>
      <c r="I463" s="10" t="s">
        <v>64</v>
      </c>
      <c r="J463" s="18" t="s">
        <v>620</v>
      </c>
      <c r="K463" s="8" t="s">
        <v>63</v>
      </c>
      <c r="L463" s="33" t="s">
        <v>35</v>
      </c>
      <c r="M463" s="8" t="s">
        <v>471</v>
      </c>
      <c r="N463" s="8" t="s">
        <v>1108</v>
      </c>
      <c r="O463" s="6">
        <v>590</v>
      </c>
      <c r="P463" s="2" t="s">
        <v>665</v>
      </c>
      <c r="Q463" s="12" t="str">
        <f t="shared" si="90"/>
        <v>26</v>
      </c>
      <c r="R463" s="12" t="str">
        <f t="shared" si="91"/>
        <v>06</v>
      </c>
      <c r="S463" s="6" t="s">
        <v>140</v>
      </c>
      <c r="T463" s="6" t="s">
        <v>474</v>
      </c>
      <c r="U463" s="18" t="s">
        <v>510</v>
      </c>
      <c r="V463" s="6" t="s">
        <v>511</v>
      </c>
      <c r="W463" s="1" t="s">
        <v>259</v>
      </c>
      <c r="X463" s="5">
        <v>46219</v>
      </c>
      <c r="Y463" s="1">
        <f t="shared" si="92"/>
        <v>0</v>
      </c>
      <c r="Z463" s="6" t="s">
        <v>49</v>
      </c>
      <c r="AA463" s="3"/>
      <c r="AB463" s="3"/>
      <c r="AD463" s="133" t="str">
        <f t="shared" si="93"/>
        <v>Closed In July</v>
      </c>
    </row>
    <row r="464" spans="1:30" hidden="1">
      <c r="A464" s="21">
        <v>46219</v>
      </c>
      <c r="B464" s="1">
        <v>2026</v>
      </c>
      <c r="C464" s="33" t="s">
        <v>62</v>
      </c>
      <c r="D464" s="34" t="s">
        <v>123</v>
      </c>
      <c r="E464" s="1"/>
      <c r="F464" s="1" t="s">
        <v>19</v>
      </c>
      <c r="G464" s="8" t="s">
        <v>619</v>
      </c>
      <c r="H464" s="18">
        <v>8828840014</v>
      </c>
      <c r="I464" s="10" t="s">
        <v>64</v>
      </c>
      <c r="J464" s="18" t="s">
        <v>620</v>
      </c>
      <c r="K464" s="8" t="s">
        <v>63</v>
      </c>
      <c r="L464" s="33" t="s">
        <v>35</v>
      </c>
      <c r="M464" s="8" t="s">
        <v>471</v>
      </c>
      <c r="N464" s="8" t="s">
        <v>1108</v>
      </c>
      <c r="O464" s="6">
        <v>590</v>
      </c>
      <c r="P464" s="2" t="s">
        <v>666</v>
      </c>
      <c r="Q464" s="12" t="str">
        <f t="shared" si="90"/>
        <v>26</v>
      </c>
      <c r="R464" s="12" t="str">
        <f t="shared" si="91"/>
        <v>06</v>
      </c>
      <c r="S464" s="6" t="s">
        <v>140</v>
      </c>
      <c r="T464" s="6" t="s">
        <v>474</v>
      </c>
      <c r="U464" s="18" t="s">
        <v>510</v>
      </c>
      <c r="V464" s="6" t="s">
        <v>511</v>
      </c>
      <c r="W464" s="1" t="s">
        <v>259</v>
      </c>
      <c r="X464" s="5">
        <v>46219</v>
      </c>
      <c r="Y464" s="1">
        <f t="shared" si="92"/>
        <v>0</v>
      </c>
      <c r="Z464" s="6" t="s">
        <v>49</v>
      </c>
      <c r="AA464" s="3"/>
      <c r="AB464" s="3"/>
      <c r="AD464" s="133" t="str">
        <f t="shared" si="93"/>
        <v>Closed In July</v>
      </c>
    </row>
    <row r="465" spans="1:30" hidden="1">
      <c r="A465" s="21">
        <v>46219</v>
      </c>
      <c r="B465" s="1">
        <v>2026</v>
      </c>
      <c r="C465" s="33" t="s">
        <v>62</v>
      </c>
      <c r="D465" s="34" t="s">
        <v>123</v>
      </c>
      <c r="E465" s="1"/>
      <c r="F465" s="1" t="s">
        <v>19</v>
      </c>
      <c r="G465" s="8" t="s">
        <v>619</v>
      </c>
      <c r="H465" s="18">
        <v>8828840014</v>
      </c>
      <c r="I465" s="10" t="s">
        <v>64</v>
      </c>
      <c r="J465" s="18" t="s">
        <v>620</v>
      </c>
      <c r="K465" s="8" t="s">
        <v>63</v>
      </c>
      <c r="L465" s="33" t="s">
        <v>35</v>
      </c>
      <c r="M465" s="8" t="s">
        <v>471</v>
      </c>
      <c r="N465" s="8" t="s">
        <v>1108</v>
      </c>
      <c r="O465" s="6">
        <v>590</v>
      </c>
      <c r="P465" s="2" t="s">
        <v>667</v>
      </c>
      <c r="Q465" s="12" t="str">
        <f t="shared" si="90"/>
        <v>26</v>
      </c>
      <c r="R465" s="12" t="str">
        <f t="shared" si="91"/>
        <v>06</v>
      </c>
      <c r="S465" s="6" t="s">
        <v>140</v>
      </c>
      <c r="T465" s="6" t="s">
        <v>474</v>
      </c>
      <c r="U465" s="18" t="s">
        <v>510</v>
      </c>
      <c r="V465" s="6" t="s">
        <v>511</v>
      </c>
      <c r="W465" s="1" t="s">
        <v>259</v>
      </c>
      <c r="X465" s="5">
        <v>46219</v>
      </c>
      <c r="Y465" s="1">
        <f t="shared" si="92"/>
        <v>0</v>
      </c>
      <c r="Z465" s="6" t="s">
        <v>49</v>
      </c>
      <c r="AA465" s="3"/>
      <c r="AB465" s="3"/>
      <c r="AD465" s="133" t="str">
        <f t="shared" si="93"/>
        <v>Closed In July</v>
      </c>
    </row>
    <row r="466" spans="1:30" hidden="1">
      <c r="A466" s="21">
        <v>46219</v>
      </c>
      <c r="B466" s="1">
        <v>2026</v>
      </c>
      <c r="C466" s="33" t="s">
        <v>62</v>
      </c>
      <c r="D466" s="34" t="s">
        <v>123</v>
      </c>
      <c r="E466" s="1"/>
      <c r="F466" s="1" t="s">
        <v>19</v>
      </c>
      <c r="G466" s="8" t="s">
        <v>619</v>
      </c>
      <c r="H466" s="18">
        <v>8828840014</v>
      </c>
      <c r="I466" s="10" t="s">
        <v>64</v>
      </c>
      <c r="J466" s="18" t="s">
        <v>620</v>
      </c>
      <c r="K466" s="8" t="s">
        <v>63</v>
      </c>
      <c r="L466" s="33" t="s">
        <v>35</v>
      </c>
      <c r="M466" s="8" t="s">
        <v>471</v>
      </c>
      <c r="N466" s="8" t="s">
        <v>1108</v>
      </c>
      <c r="O466" s="6">
        <v>590</v>
      </c>
      <c r="P466" s="2" t="s">
        <v>668</v>
      </c>
      <c r="Q466" s="12" t="str">
        <f t="shared" si="90"/>
        <v>26</v>
      </c>
      <c r="R466" s="12" t="str">
        <f t="shared" si="91"/>
        <v>06</v>
      </c>
      <c r="S466" s="6" t="s">
        <v>140</v>
      </c>
      <c r="T466" s="6" t="s">
        <v>474</v>
      </c>
      <c r="U466" s="18" t="s">
        <v>510</v>
      </c>
      <c r="V466" s="6" t="s">
        <v>511</v>
      </c>
      <c r="W466" s="1" t="s">
        <v>259</v>
      </c>
      <c r="X466" s="5">
        <v>46219</v>
      </c>
      <c r="Y466" s="1">
        <f t="shared" si="92"/>
        <v>0</v>
      </c>
      <c r="Z466" s="6" t="s">
        <v>49</v>
      </c>
      <c r="AA466" s="3"/>
      <c r="AB466" s="3"/>
      <c r="AD466" s="133" t="str">
        <f t="shared" si="93"/>
        <v>Closed In July</v>
      </c>
    </row>
    <row r="467" spans="1:30" hidden="1">
      <c r="A467" s="21">
        <v>46219</v>
      </c>
      <c r="B467" s="1">
        <v>2026</v>
      </c>
      <c r="C467" s="33" t="s">
        <v>62</v>
      </c>
      <c r="D467" s="34" t="s">
        <v>123</v>
      </c>
      <c r="E467" s="1"/>
      <c r="F467" s="1" t="s">
        <v>19</v>
      </c>
      <c r="G467" s="8" t="s">
        <v>619</v>
      </c>
      <c r="H467" s="18">
        <v>8828840014</v>
      </c>
      <c r="I467" s="10" t="s">
        <v>64</v>
      </c>
      <c r="J467" s="18" t="s">
        <v>620</v>
      </c>
      <c r="K467" s="8" t="s">
        <v>63</v>
      </c>
      <c r="L467" s="33" t="s">
        <v>35</v>
      </c>
      <c r="M467" s="8" t="s">
        <v>471</v>
      </c>
      <c r="N467" s="8" t="s">
        <v>1108</v>
      </c>
      <c r="O467" s="6">
        <v>590</v>
      </c>
      <c r="P467" s="2" t="s">
        <v>669</v>
      </c>
      <c r="Q467" s="12" t="str">
        <f t="shared" si="90"/>
        <v>26</v>
      </c>
      <c r="R467" s="12" t="str">
        <f t="shared" si="91"/>
        <v>06</v>
      </c>
      <c r="S467" s="6" t="s">
        <v>140</v>
      </c>
      <c r="T467" s="6" t="s">
        <v>474</v>
      </c>
      <c r="U467" s="18" t="s">
        <v>510</v>
      </c>
      <c r="V467" s="6" t="s">
        <v>511</v>
      </c>
      <c r="W467" s="1" t="s">
        <v>259</v>
      </c>
      <c r="X467" s="5">
        <v>46219</v>
      </c>
      <c r="Y467" s="1">
        <f t="shared" si="92"/>
        <v>0</v>
      </c>
      <c r="Z467" s="6" t="s">
        <v>49</v>
      </c>
      <c r="AA467" s="3"/>
      <c r="AB467" s="3"/>
      <c r="AD467" s="133" t="str">
        <f t="shared" si="93"/>
        <v>Closed In July</v>
      </c>
    </row>
    <row r="468" spans="1:30" hidden="1">
      <c r="A468" s="21">
        <v>46219</v>
      </c>
      <c r="B468" s="1">
        <v>2026</v>
      </c>
      <c r="C468" s="33" t="s">
        <v>62</v>
      </c>
      <c r="D468" s="34" t="s">
        <v>123</v>
      </c>
      <c r="E468" s="1"/>
      <c r="F468" s="1" t="s">
        <v>19</v>
      </c>
      <c r="G468" s="8" t="s">
        <v>619</v>
      </c>
      <c r="H468" s="18">
        <v>8828840014</v>
      </c>
      <c r="I468" s="10" t="s">
        <v>64</v>
      </c>
      <c r="J468" s="18" t="s">
        <v>620</v>
      </c>
      <c r="K468" s="8" t="s">
        <v>63</v>
      </c>
      <c r="L468" s="33" t="s">
        <v>35</v>
      </c>
      <c r="M468" s="8" t="s">
        <v>471</v>
      </c>
      <c r="N468" s="8" t="s">
        <v>1108</v>
      </c>
      <c r="O468" s="6">
        <v>590</v>
      </c>
      <c r="P468" s="2" t="s">
        <v>670</v>
      </c>
      <c r="Q468" s="12" t="str">
        <f t="shared" si="90"/>
        <v>26</v>
      </c>
      <c r="R468" s="12" t="str">
        <f t="shared" si="91"/>
        <v>06</v>
      </c>
      <c r="S468" s="6" t="s">
        <v>140</v>
      </c>
      <c r="T468" s="6" t="s">
        <v>474</v>
      </c>
      <c r="U468" s="18" t="s">
        <v>510</v>
      </c>
      <c r="V468" s="6" t="s">
        <v>511</v>
      </c>
      <c r="W468" s="1" t="s">
        <v>259</v>
      </c>
      <c r="X468" s="5">
        <v>46219</v>
      </c>
      <c r="Y468" s="1">
        <f t="shared" si="92"/>
        <v>0</v>
      </c>
      <c r="Z468" s="6" t="s">
        <v>49</v>
      </c>
      <c r="AA468" s="3"/>
      <c r="AB468" s="3"/>
      <c r="AD468" s="133" t="str">
        <f t="shared" si="93"/>
        <v>Closed In July</v>
      </c>
    </row>
    <row r="469" spans="1:30" hidden="1">
      <c r="A469" s="21">
        <v>46219</v>
      </c>
      <c r="B469" s="1">
        <v>2026</v>
      </c>
      <c r="C469" s="33" t="s">
        <v>62</v>
      </c>
      <c r="D469" s="34" t="s">
        <v>123</v>
      </c>
      <c r="E469" s="1"/>
      <c r="F469" s="1" t="s">
        <v>19</v>
      </c>
      <c r="G469" s="8" t="s">
        <v>619</v>
      </c>
      <c r="H469" s="18">
        <v>8828840014</v>
      </c>
      <c r="I469" s="10" t="s">
        <v>64</v>
      </c>
      <c r="J469" s="18" t="s">
        <v>620</v>
      </c>
      <c r="K469" s="8" t="s">
        <v>63</v>
      </c>
      <c r="L469" s="33" t="s">
        <v>35</v>
      </c>
      <c r="M469" s="8" t="s">
        <v>471</v>
      </c>
      <c r="N469" s="8" t="s">
        <v>1108</v>
      </c>
      <c r="O469" s="6">
        <v>590</v>
      </c>
      <c r="P469" s="2" t="s">
        <v>671</v>
      </c>
      <c r="Q469" s="12" t="str">
        <f t="shared" si="90"/>
        <v>26</v>
      </c>
      <c r="R469" s="12" t="str">
        <f t="shared" si="91"/>
        <v>06</v>
      </c>
      <c r="S469" s="6" t="s">
        <v>140</v>
      </c>
      <c r="T469" s="6" t="s">
        <v>474</v>
      </c>
      <c r="U469" s="18" t="s">
        <v>510</v>
      </c>
      <c r="V469" s="6" t="s">
        <v>511</v>
      </c>
      <c r="W469" s="1" t="s">
        <v>259</v>
      </c>
      <c r="X469" s="5">
        <v>46219</v>
      </c>
      <c r="Y469" s="1">
        <f t="shared" si="92"/>
        <v>0</v>
      </c>
      <c r="Z469" s="6" t="s">
        <v>49</v>
      </c>
      <c r="AA469" s="3"/>
      <c r="AB469" s="3"/>
      <c r="AD469" s="133" t="str">
        <f t="shared" si="93"/>
        <v>Closed In July</v>
      </c>
    </row>
    <row r="470" spans="1:30" hidden="1">
      <c r="A470" s="21">
        <v>46219</v>
      </c>
      <c r="B470" s="1">
        <v>2026</v>
      </c>
      <c r="C470" s="33" t="s">
        <v>62</v>
      </c>
      <c r="D470" s="34" t="s">
        <v>123</v>
      </c>
      <c r="E470" s="1"/>
      <c r="F470" s="1" t="s">
        <v>19</v>
      </c>
      <c r="G470" s="8" t="s">
        <v>619</v>
      </c>
      <c r="H470" s="18">
        <v>8828840014</v>
      </c>
      <c r="I470" s="10" t="s">
        <v>64</v>
      </c>
      <c r="J470" s="18" t="s">
        <v>620</v>
      </c>
      <c r="K470" s="8" t="s">
        <v>63</v>
      </c>
      <c r="L470" s="33" t="s">
        <v>35</v>
      </c>
      <c r="M470" s="8" t="s">
        <v>471</v>
      </c>
      <c r="N470" s="8" t="s">
        <v>1108</v>
      </c>
      <c r="O470" s="6">
        <v>590</v>
      </c>
      <c r="P470" s="2" t="s">
        <v>672</v>
      </c>
      <c r="Q470" s="12" t="str">
        <f t="shared" si="90"/>
        <v>26</v>
      </c>
      <c r="R470" s="12" t="str">
        <f t="shared" si="91"/>
        <v>06</v>
      </c>
      <c r="S470" s="6" t="s">
        <v>140</v>
      </c>
      <c r="T470" s="6" t="s">
        <v>474</v>
      </c>
      <c r="U470" s="18" t="s">
        <v>510</v>
      </c>
      <c r="V470" s="6" t="s">
        <v>511</v>
      </c>
      <c r="W470" s="1" t="s">
        <v>259</v>
      </c>
      <c r="X470" s="5">
        <v>46219</v>
      </c>
      <c r="Y470" s="1">
        <f t="shared" si="92"/>
        <v>0</v>
      </c>
      <c r="Z470" s="6" t="s">
        <v>49</v>
      </c>
      <c r="AA470" s="3"/>
      <c r="AB470" s="3"/>
      <c r="AD470" s="133" t="str">
        <f t="shared" si="93"/>
        <v>Closed In July</v>
      </c>
    </row>
    <row r="471" spans="1:30" hidden="1">
      <c r="A471" s="21">
        <v>46219</v>
      </c>
      <c r="B471" s="1">
        <v>2026</v>
      </c>
      <c r="C471" s="33" t="s">
        <v>62</v>
      </c>
      <c r="D471" s="34" t="s">
        <v>123</v>
      </c>
      <c r="E471" s="1"/>
      <c r="F471" s="1" t="s">
        <v>19</v>
      </c>
      <c r="G471" s="8" t="s">
        <v>619</v>
      </c>
      <c r="H471" s="18">
        <v>8828840014</v>
      </c>
      <c r="I471" s="10" t="s">
        <v>64</v>
      </c>
      <c r="J471" s="18" t="s">
        <v>620</v>
      </c>
      <c r="K471" s="8" t="s">
        <v>63</v>
      </c>
      <c r="L471" s="33" t="s">
        <v>35</v>
      </c>
      <c r="M471" s="8" t="s">
        <v>471</v>
      </c>
      <c r="N471" s="8" t="s">
        <v>1108</v>
      </c>
      <c r="O471" s="6">
        <v>590</v>
      </c>
      <c r="P471" s="2" t="s">
        <v>673</v>
      </c>
      <c r="Q471" s="12" t="str">
        <f t="shared" si="90"/>
        <v>26</v>
      </c>
      <c r="R471" s="12" t="str">
        <f t="shared" si="91"/>
        <v>06</v>
      </c>
      <c r="S471" s="6" t="s">
        <v>140</v>
      </c>
      <c r="T471" s="6" t="s">
        <v>474</v>
      </c>
      <c r="U471" s="18" t="s">
        <v>510</v>
      </c>
      <c r="V471" s="6" t="s">
        <v>511</v>
      </c>
      <c r="W471" s="1" t="s">
        <v>259</v>
      </c>
      <c r="X471" s="5">
        <v>46219</v>
      </c>
      <c r="Y471" s="1">
        <f t="shared" si="92"/>
        <v>0</v>
      </c>
      <c r="Z471" s="6" t="s">
        <v>49</v>
      </c>
      <c r="AA471" s="3"/>
      <c r="AB471" s="3"/>
      <c r="AD471" s="133" t="str">
        <f t="shared" si="93"/>
        <v>Closed In July</v>
      </c>
    </row>
    <row r="472" spans="1:30" hidden="1">
      <c r="A472" s="21">
        <v>46219</v>
      </c>
      <c r="B472" s="1">
        <v>2026</v>
      </c>
      <c r="C472" s="33" t="s">
        <v>62</v>
      </c>
      <c r="D472" s="34" t="s">
        <v>123</v>
      </c>
      <c r="E472" s="1"/>
      <c r="F472" s="1" t="s">
        <v>19</v>
      </c>
      <c r="G472" s="8" t="s">
        <v>619</v>
      </c>
      <c r="H472" s="18">
        <v>8828840014</v>
      </c>
      <c r="I472" s="10" t="s">
        <v>64</v>
      </c>
      <c r="J472" s="18" t="s">
        <v>620</v>
      </c>
      <c r="K472" s="8" t="s">
        <v>63</v>
      </c>
      <c r="L472" s="33" t="s">
        <v>35</v>
      </c>
      <c r="M472" s="8" t="s">
        <v>471</v>
      </c>
      <c r="N472" s="8" t="s">
        <v>1108</v>
      </c>
      <c r="O472" s="6">
        <v>590</v>
      </c>
      <c r="P472" s="2" t="s">
        <v>674</v>
      </c>
      <c r="Q472" s="12" t="str">
        <f t="shared" si="90"/>
        <v>26</v>
      </c>
      <c r="R472" s="12" t="str">
        <f t="shared" si="91"/>
        <v>06</v>
      </c>
      <c r="S472" s="6" t="s">
        <v>140</v>
      </c>
      <c r="T472" s="6" t="s">
        <v>474</v>
      </c>
      <c r="U472" s="18" t="s">
        <v>510</v>
      </c>
      <c r="V472" s="6" t="s">
        <v>511</v>
      </c>
      <c r="W472" s="1" t="s">
        <v>259</v>
      </c>
      <c r="X472" s="5">
        <v>46219</v>
      </c>
      <c r="Y472" s="1">
        <f t="shared" si="92"/>
        <v>0</v>
      </c>
      <c r="Z472" s="6" t="s">
        <v>49</v>
      </c>
      <c r="AA472" s="3"/>
      <c r="AB472" s="3"/>
      <c r="AD472" s="133" t="str">
        <f t="shared" si="93"/>
        <v>Closed In July</v>
      </c>
    </row>
    <row r="473" spans="1:30" hidden="1">
      <c r="A473" s="21">
        <v>46219</v>
      </c>
      <c r="B473" s="1">
        <v>2026</v>
      </c>
      <c r="C473" s="33" t="s">
        <v>62</v>
      </c>
      <c r="D473" s="34" t="s">
        <v>123</v>
      </c>
      <c r="E473" s="1"/>
      <c r="F473" s="1" t="s">
        <v>19</v>
      </c>
      <c r="G473" s="8" t="s">
        <v>619</v>
      </c>
      <c r="H473" s="18">
        <v>8828840014</v>
      </c>
      <c r="I473" s="10" t="s">
        <v>64</v>
      </c>
      <c r="J473" s="18" t="s">
        <v>620</v>
      </c>
      <c r="K473" s="8" t="s">
        <v>63</v>
      </c>
      <c r="L473" s="33" t="s">
        <v>35</v>
      </c>
      <c r="M473" s="8" t="s">
        <v>471</v>
      </c>
      <c r="N473" s="8" t="s">
        <v>1108</v>
      </c>
      <c r="O473" s="6">
        <v>590</v>
      </c>
      <c r="P473" s="2" t="s">
        <v>675</v>
      </c>
      <c r="Q473" s="12" t="str">
        <f t="shared" si="90"/>
        <v>26</v>
      </c>
      <c r="R473" s="12" t="str">
        <f t="shared" si="91"/>
        <v>06</v>
      </c>
      <c r="S473" s="6" t="s">
        <v>140</v>
      </c>
      <c r="T473" s="6" t="s">
        <v>474</v>
      </c>
      <c r="U473" s="18" t="s">
        <v>510</v>
      </c>
      <c r="V473" s="6" t="s">
        <v>511</v>
      </c>
      <c r="W473" s="1" t="s">
        <v>259</v>
      </c>
      <c r="X473" s="5">
        <v>46219</v>
      </c>
      <c r="Y473" s="1">
        <f t="shared" si="92"/>
        <v>0</v>
      </c>
      <c r="Z473" s="6" t="s">
        <v>49</v>
      </c>
      <c r="AA473" s="3"/>
      <c r="AB473" s="3"/>
      <c r="AD473" s="133" t="str">
        <f t="shared" si="93"/>
        <v>Closed In July</v>
      </c>
    </row>
    <row r="474" spans="1:30" hidden="1">
      <c r="A474" s="21">
        <v>46219</v>
      </c>
      <c r="B474" s="1">
        <v>2026</v>
      </c>
      <c r="C474" s="33" t="s">
        <v>62</v>
      </c>
      <c r="D474" s="34" t="s">
        <v>123</v>
      </c>
      <c r="E474" s="1"/>
      <c r="F474" s="1" t="s">
        <v>19</v>
      </c>
      <c r="G474" s="8" t="s">
        <v>619</v>
      </c>
      <c r="H474" s="18">
        <v>8828840014</v>
      </c>
      <c r="I474" s="10" t="s">
        <v>64</v>
      </c>
      <c r="J474" s="18" t="s">
        <v>620</v>
      </c>
      <c r="K474" s="8" t="s">
        <v>63</v>
      </c>
      <c r="L474" s="33" t="s">
        <v>35</v>
      </c>
      <c r="M474" s="8" t="s">
        <v>471</v>
      </c>
      <c r="N474" s="8" t="s">
        <v>1108</v>
      </c>
      <c r="O474" s="6">
        <v>590</v>
      </c>
      <c r="P474" s="2" t="s">
        <v>676</v>
      </c>
      <c r="Q474" s="12" t="str">
        <f t="shared" si="90"/>
        <v>26</v>
      </c>
      <c r="R474" s="12" t="str">
        <f t="shared" si="91"/>
        <v>06</v>
      </c>
      <c r="S474" s="6" t="s">
        <v>140</v>
      </c>
      <c r="T474" s="6" t="s">
        <v>474</v>
      </c>
      <c r="U474" s="18" t="s">
        <v>510</v>
      </c>
      <c r="V474" s="6" t="s">
        <v>511</v>
      </c>
      <c r="W474" s="1" t="s">
        <v>259</v>
      </c>
      <c r="X474" s="5">
        <v>46219</v>
      </c>
      <c r="Y474" s="1">
        <f t="shared" si="92"/>
        <v>0</v>
      </c>
      <c r="Z474" s="6" t="s">
        <v>49</v>
      </c>
      <c r="AA474" s="3"/>
      <c r="AB474" s="3"/>
      <c r="AD474" s="133" t="str">
        <f t="shared" si="93"/>
        <v>Closed In July</v>
      </c>
    </row>
    <row r="475" spans="1:30" hidden="1">
      <c r="A475" s="21">
        <v>46219</v>
      </c>
      <c r="B475" s="1">
        <v>2026</v>
      </c>
      <c r="C475" s="33" t="s">
        <v>62</v>
      </c>
      <c r="D475" s="34" t="s">
        <v>123</v>
      </c>
      <c r="E475" s="1"/>
      <c r="F475" s="1" t="s">
        <v>19</v>
      </c>
      <c r="G475" s="8" t="s">
        <v>619</v>
      </c>
      <c r="H475" s="18">
        <v>8828840014</v>
      </c>
      <c r="I475" s="10" t="s">
        <v>64</v>
      </c>
      <c r="J475" s="18" t="s">
        <v>620</v>
      </c>
      <c r="K475" s="8" t="s">
        <v>63</v>
      </c>
      <c r="L475" s="33" t="s">
        <v>35</v>
      </c>
      <c r="M475" s="8" t="s">
        <v>471</v>
      </c>
      <c r="N475" s="8" t="s">
        <v>1108</v>
      </c>
      <c r="O475" s="6">
        <v>590</v>
      </c>
      <c r="P475" s="2" t="s">
        <v>677</v>
      </c>
      <c r="Q475" s="12" t="str">
        <f t="shared" si="90"/>
        <v>26</v>
      </c>
      <c r="R475" s="12" t="str">
        <f t="shared" si="91"/>
        <v>06</v>
      </c>
      <c r="S475" s="6" t="s">
        <v>140</v>
      </c>
      <c r="T475" s="6" t="s">
        <v>474</v>
      </c>
      <c r="U475" s="18" t="s">
        <v>510</v>
      </c>
      <c r="V475" s="6" t="s">
        <v>511</v>
      </c>
      <c r="W475" s="1" t="s">
        <v>259</v>
      </c>
      <c r="X475" s="5">
        <v>46219</v>
      </c>
      <c r="Y475" s="1">
        <f t="shared" si="92"/>
        <v>0</v>
      </c>
      <c r="Z475" s="6" t="s">
        <v>49</v>
      </c>
      <c r="AA475" s="3"/>
      <c r="AB475" s="3"/>
      <c r="AD475" s="133" t="str">
        <f t="shared" si="93"/>
        <v>Closed In July</v>
      </c>
    </row>
    <row r="476" spans="1:30" hidden="1">
      <c r="A476" s="21">
        <v>46219</v>
      </c>
      <c r="B476" s="1">
        <v>2026</v>
      </c>
      <c r="C476" s="33" t="s">
        <v>62</v>
      </c>
      <c r="D476" s="34" t="s">
        <v>123</v>
      </c>
      <c r="E476" s="1"/>
      <c r="F476" s="1" t="s">
        <v>19</v>
      </c>
      <c r="G476" s="8" t="s">
        <v>619</v>
      </c>
      <c r="H476" s="18">
        <v>8828840014</v>
      </c>
      <c r="I476" s="10" t="s">
        <v>64</v>
      </c>
      <c r="J476" s="18" t="s">
        <v>620</v>
      </c>
      <c r="K476" s="8" t="s">
        <v>63</v>
      </c>
      <c r="L476" s="33" t="s">
        <v>35</v>
      </c>
      <c r="M476" s="8" t="s">
        <v>471</v>
      </c>
      <c r="N476" s="8" t="s">
        <v>1108</v>
      </c>
      <c r="O476" s="6">
        <v>590</v>
      </c>
      <c r="P476" s="2" t="s">
        <v>678</v>
      </c>
      <c r="Q476" s="12" t="str">
        <f t="shared" si="90"/>
        <v>26</v>
      </c>
      <c r="R476" s="12" t="str">
        <f t="shared" si="91"/>
        <v>06</v>
      </c>
      <c r="S476" s="6" t="s">
        <v>140</v>
      </c>
      <c r="T476" s="6" t="s">
        <v>474</v>
      </c>
      <c r="U476" s="18" t="s">
        <v>510</v>
      </c>
      <c r="V476" s="6" t="s">
        <v>511</v>
      </c>
      <c r="W476" s="1" t="s">
        <v>259</v>
      </c>
      <c r="X476" s="5">
        <v>46219</v>
      </c>
      <c r="Y476" s="1">
        <f t="shared" si="92"/>
        <v>0</v>
      </c>
      <c r="Z476" s="6" t="s">
        <v>49</v>
      </c>
      <c r="AA476" s="3"/>
      <c r="AB476" s="3"/>
      <c r="AD476" s="133" t="str">
        <f t="shared" si="93"/>
        <v>Closed In July</v>
      </c>
    </row>
    <row r="477" spans="1:30" hidden="1">
      <c r="A477" s="21">
        <v>46219</v>
      </c>
      <c r="B477" s="1">
        <v>2026</v>
      </c>
      <c r="C477" s="33" t="s">
        <v>62</v>
      </c>
      <c r="D477" s="34" t="s">
        <v>123</v>
      </c>
      <c r="E477" s="1"/>
      <c r="F477" s="1" t="s">
        <v>19</v>
      </c>
      <c r="G477" s="8" t="s">
        <v>619</v>
      </c>
      <c r="H477" s="18">
        <v>8828840014</v>
      </c>
      <c r="I477" s="10" t="s">
        <v>64</v>
      </c>
      <c r="J477" s="18" t="s">
        <v>620</v>
      </c>
      <c r="K477" s="8" t="s">
        <v>63</v>
      </c>
      <c r="L477" s="33" t="s">
        <v>35</v>
      </c>
      <c r="M477" s="8" t="s">
        <v>471</v>
      </c>
      <c r="N477" s="8" t="s">
        <v>1108</v>
      </c>
      <c r="O477" s="6">
        <v>590</v>
      </c>
      <c r="P477" s="2" t="s">
        <v>679</v>
      </c>
      <c r="Q477" s="12" t="str">
        <f t="shared" si="90"/>
        <v>26</v>
      </c>
      <c r="R477" s="12" t="str">
        <f t="shared" si="91"/>
        <v>06</v>
      </c>
      <c r="S477" s="6" t="s">
        <v>140</v>
      </c>
      <c r="T477" s="6" t="s">
        <v>474</v>
      </c>
      <c r="U477" s="18" t="s">
        <v>510</v>
      </c>
      <c r="V477" s="6" t="s">
        <v>511</v>
      </c>
      <c r="W477" s="1" t="s">
        <v>259</v>
      </c>
      <c r="X477" s="5">
        <v>46219</v>
      </c>
      <c r="Y477" s="1">
        <f t="shared" si="92"/>
        <v>0</v>
      </c>
      <c r="Z477" s="6" t="s">
        <v>49</v>
      </c>
      <c r="AA477" s="3"/>
      <c r="AB477" s="3"/>
      <c r="AD477" s="133" t="str">
        <f t="shared" si="93"/>
        <v>Closed In July</v>
      </c>
    </row>
    <row r="478" spans="1:30" hidden="1">
      <c r="A478" s="21">
        <v>46219</v>
      </c>
      <c r="B478" s="1">
        <v>2026</v>
      </c>
      <c r="C478" s="33" t="s">
        <v>62</v>
      </c>
      <c r="D478" s="34" t="s">
        <v>123</v>
      </c>
      <c r="E478" s="1"/>
      <c r="F478" s="1" t="s">
        <v>19</v>
      </c>
      <c r="G478" s="8" t="s">
        <v>619</v>
      </c>
      <c r="H478" s="18">
        <v>8828840014</v>
      </c>
      <c r="I478" s="10" t="s">
        <v>64</v>
      </c>
      <c r="J478" s="18" t="s">
        <v>620</v>
      </c>
      <c r="K478" s="8" t="s">
        <v>63</v>
      </c>
      <c r="L478" s="33" t="s">
        <v>35</v>
      </c>
      <c r="M478" s="8" t="s">
        <v>471</v>
      </c>
      <c r="N478" s="8" t="s">
        <v>1108</v>
      </c>
      <c r="O478" s="6">
        <v>590</v>
      </c>
      <c r="P478" s="2" t="s">
        <v>680</v>
      </c>
      <c r="Q478" s="12" t="str">
        <f t="shared" si="90"/>
        <v>26</v>
      </c>
      <c r="R478" s="12" t="str">
        <f t="shared" si="91"/>
        <v>06</v>
      </c>
      <c r="S478" s="6" t="s">
        <v>140</v>
      </c>
      <c r="T478" s="6" t="s">
        <v>474</v>
      </c>
      <c r="U478" s="18" t="s">
        <v>510</v>
      </c>
      <c r="V478" s="6" t="s">
        <v>511</v>
      </c>
      <c r="W478" s="1" t="s">
        <v>259</v>
      </c>
      <c r="X478" s="5">
        <v>46219</v>
      </c>
      <c r="Y478" s="1">
        <f t="shared" si="92"/>
        <v>0</v>
      </c>
      <c r="Z478" s="6" t="s">
        <v>49</v>
      </c>
      <c r="AA478" s="3"/>
      <c r="AB478" s="3"/>
      <c r="AD478" s="133" t="str">
        <f t="shared" si="93"/>
        <v>Closed In July</v>
      </c>
    </row>
    <row r="479" spans="1:30" hidden="1">
      <c r="A479" s="21">
        <v>46219</v>
      </c>
      <c r="B479" s="1">
        <v>2026</v>
      </c>
      <c r="C479" s="33" t="s">
        <v>62</v>
      </c>
      <c r="D479" s="34" t="s">
        <v>123</v>
      </c>
      <c r="E479" s="1"/>
      <c r="F479" s="1" t="s">
        <v>19</v>
      </c>
      <c r="G479" s="8" t="s">
        <v>619</v>
      </c>
      <c r="H479" s="18">
        <v>8828840014</v>
      </c>
      <c r="I479" s="10" t="s">
        <v>64</v>
      </c>
      <c r="J479" s="18" t="s">
        <v>620</v>
      </c>
      <c r="K479" s="8" t="s">
        <v>63</v>
      </c>
      <c r="L479" s="33" t="s">
        <v>35</v>
      </c>
      <c r="M479" s="8" t="s">
        <v>471</v>
      </c>
      <c r="N479" s="8" t="s">
        <v>1108</v>
      </c>
      <c r="O479" s="6">
        <v>590</v>
      </c>
      <c r="P479" s="2" t="s">
        <v>681</v>
      </c>
      <c r="Q479" s="12" t="str">
        <f t="shared" si="90"/>
        <v>26</v>
      </c>
      <c r="R479" s="12" t="str">
        <f t="shared" si="91"/>
        <v>06</v>
      </c>
      <c r="S479" s="6" t="s">
        <v>140</v>
      </c>
      <c r="T479" s="6" t="s">
        <v>474</v>
      </c>
      <c r="U479" s="18" t="s">
        <v>510</v>
      </c>
      <c r="V479" s="6" t="s">
        <v>511</v>
      </c>
      <c r="W479" s="1" t="s">
        <v>259</v>
      </c>
      <c r="X479" s="5">
        <v>46219</v>
      </c>
      <c r="Y479" s="1">
        <f t="shared" si="92"/>
        <v>0</v>
      </c>
      <c r="Z479" s="6" t="s">
        <v>49</v>
      </c>
      <c r="AA479" s="3"/>
      <c r="AB479" s="3"/>
      <c r="AD479" s="133" t="str">
        <f t="shared" si="93"/>
        <v>Closed In July</v>
      </c>
    </row>
    <row r="480" spans="1:30" hidden="1">
      <c r="A480" s="21">
        <v>46219</v>
      </c>
      <c r="B480" s="1">
        <v>2026</v>
      </c>
      <c r="C480" s="33" t="s">
        <v>62</v>
      </c>
      <c r="D480" s="34" t="s">
        <v>123</v>
      </c>
      <c r="E480" s="1"/>
      <c r="F480" s="1" t="s">
        <v>19</v>
      </c>
      <c r="G480" s="8" t="s">
        <v>619</v>
      </c>
      <c r="H480" s="18">
        <v>8828840014</v>
      </c>
      <c r="I480" s="10" t="s">
        <v>64</v>
      </c>
      <c r="J480" s="18" t="s">
        <v>620</v>
      </c>
      <c r="K480" s="8" t="s">
        <v>63</v>
      </c>
      <c r="L480" s="33" t="s">
        <v>35</v>
      </c>
      <c r="M480" s="8" t="s">
        <v>471</v>
      </c>
      <c r="N480" s="8" t="s">
        <v>1108</v>
      </c>
      <c r="O480" s="6">
        <v>590</v>
      </c>
      <c r="P480" s="2" t="s">
        <v>682</v>
      </c>
      <c r="Q480" s="12" t="str">
        <f t="shared" si="90"/>
        <v>26</v>
      </c>
      <c r="R480" s="12" t="str">
        <f t="shared" si="91"/>
        <v>06</v>
      </c>
      <c r="S480" s="6" t="s">
        <v>140</v>
      </c>
      <c r="T480" s="6" t="s">
        <v>474</v>
      </c>
      <c r="U480" s="18" t="s">
        <v>510</v>
      </c>
      <c r="V480" s="6" t="s">
        <v>511</v>
      </c>
      <c r="W480" s="1" t="s">
        <v>259</v>
      </c>
      <c r="X480" s="5">
        <v>46219</v>
      </c>
      <c r="Y480" s="1">
        <f t="shared" si="92"/>
        <v>0</v>
      </c>
      <c r="Z480" s="6" t="s">
        <v>49</v>
      </c>
      <c r="AA480" s="3"/>
      <c r="AB480" s="3"/>
      <c r="AD480" s="133" t="str">
        <f t="shared" si="93"/>
        <v>Closed In July</v>
      </c>
    </row>
    <row r="481" spans="1:30" hidden="1">
      <c r="A481" s="21">
        <v>46219</v>
      </c>
      <c r="B481" s="1">
        <v>2026</v>
      </c>
      <c r="C481" s="33" t="s">
        <v>62</v>
      </c>
      <c r="D481" s="34" t="s">
        <v>123</v>
      </c>
      <c r="E481" s="1"/>
      <c r="F481" s="1" t="s">
        <v>19</v>
      </c>
      <c r="G481" s="8" t="s">
        <v>619</v>
      </c>
      <c r="H481" s="18">
        <v>8828840014</v>
      </c>
      <c r="I481" s="10" t="s">
        <v>64</v>
      </c>
      <c r="J481" s="18" t="s">
        <v>620</v>
      </c>
      <c r="K481" s="8" t="s">
        <v>63</v>
      </c>
      <c r="L481" s="33" t="s">
        <v>35</v>
      </c>
      <c r="M481" s="8" t="s">
        <v>471</v>
      </c>
      <c r="N481" s="8" t="s">
        <v>1108</v>
      </c>
      <c r="O481" s="6">
        <v>590</v>
      </c>
      <c r="P481" s="2" t="s">
        <v>683</v>
      </c>
      <c r="Q481" s="12" t="str">
        <f t="shared" si="90"/>
        <v>26</v>
      </c>
      <c r="R481" s="12" t="str">
        <f t="shared" si="91"/>
        <v>06</v>
      </c>
      <c r="S481" s="6" t="s">
        <v>140</v>
      </c>
      <c r="T481" s="6" t="s">
        <v>474</v>
      </c>
      <c r="U481" s="18" t="s">
        <v>510</v>
      </c>
      <c r="V481" s="6" t="s">
        <v>511</v>
      </c>
      <c r="W481" s="1" t="s">
        <v>259</v>
      </c>
      <c r="X481" s="5">
        <v>46219</v>
      </c>
      <c r="Y481" s="1">
        <f t="shared" si="92"/>
        <v>0</v>
      </c>
      <c r="Z481" s="6" t="s">
        <v>49</v>
      </c>
      <c r="AA481" s="3"/>
      <c r="AB481" s="3"/>
      <c r="AD481" s="133" t="str">
        <f t="shared" si="93"/>
        <v>Closed In July</v>
      </c>
    </row>
    <row r="482" spans="1:30" hidden="1">
      <c r="A482" s="21">
        <v>46219</v>
      </c>
      <c r="B482" s="1">
        <v>2026</v>
      </c>
      <c r="C482" s="33" t="s">
        <v>62</v>
      </c>
      <c r="D482" s="34" t="s">
        <v>123</v>
      </c>
      <c r="E482" s="1"/>
      <c r="F482" s="1" t="s">
        <v>19</v>
      </c>
      <c r="G482" s="8" t="s">
        <v>619</v>
      </c>
      <c r="H482" s="18">
        <v>8828840014</v>
      </c>
      <c r="I482" s="10" t="s">
        <v>64</v>
      </c>
      <c r="J482" s="18" t="s">
        <v>620</v>
      </c>
      <c r="K482" s="8" t="s">
        <v>63</v>
      </c>
      <c r="L482" s="33" t="s">
        <v>35</v>
      </c>
      <c r="M482" s="8" t="s">
        <v>471</v>
      </c>
      <c r="N482" s="8" t="s">
        <v>1108</v>
      </c>
      <c r="O482" s="6">
        <v>590</v>
      </c>
      <c r="P482" s="2" t="s">
        <v>684</v>
      </c>
      <c r="Q482" s="12" t="str">
        <f t="shared" si="90"/>
        <v>26</v>
      </c>
      <c r="R482" s="12" t="str">
        <f t="shared" si="91"/>
        <v>06</v>
      </c>
      <c r="S482" s="6" t="s">
        <v>140</v>
      </c>
      <c r="T482" s="6" t="s">
        <v>474</v>
      </c>
      <c r="U482" s="18" t="s">
        <v>510</v>
      </c>
      <c r="V482" s="6" t="s">
        <v>511</v>
      </c>
      <c r="W482" s="1" t="s">
        <v>259</v>
      </c>
      <c r="X482" s="5">
        <v>46219</v>
      </c>
      <c r="Y482" s="1">
        <f t="shared" si="92"/>
        <v>0</v>
      </c>
      <c r="Z482" s="6" t="s">
        <v>49</v>
      </c>
      <c r="AA482" s="3"/>
      <c r="AB482" s="3"/>
      <c r="AD482" s="133" t="str">
        <f t="shared" si="93"/>
        <v>Closed In July</v>
      </c>
    </row>
    <row r="483" spans="1:30" hidden="1">
      <c r="A483" s="21">
        <v>46219</v>
      </c>
      <c r="B483" s="1">
        <v>2026</v>
      </c>
      <c r="C483" s="33" t="s">
        <v>62</v>
      </c>
      <c r="D483" s="34" t="s">
        <v>123</v>
      </c>
      <c r="E483" s="1"/>
      <c r="F483" s="1" t="s">
        <v>19</v>
      </c>
      <c r="G483" s="8" t="s">
        <v>619</v>
      </c>
      <c r="H483" s="18">
        <v>8828840014</v>
      </c>
      <c r="I483" s="10" t="s">
        <v>64</v>
      </c>
      <c r="J483" s="18" t="s">
        <v>620</v>
      </c>
      <c r="K483" s="8" t="s">
        <v>63</v>
      </c>
      <c r="L483" s="33" t="s">
        <v>35</v>
      </c>
      <c r="M483" s="8" t="s">
        <v>471</v>
      </c>
      <c r="N483" s="8" t="s">
        <v>1108</v>
      </c>
      <c r="O483" s="6">
        <v>590</v>
      </c>
      <c r="P483" s="2" t="s">
        <v>685</v>
      </c>
      <c r="Q483" s="12" t="str">
        <f t="shared" si="90"/>
        <v>26</v>
      </c>
      <c r="R483" s="12" t="str">
        <f t="shared" si="91"/>
        <v>06</v>
      </c>
      <c r="S483" s="6" t="s">
        <v>140</v>
      </c>
      <c r="T483" s="6" t="s">
        <v>474</v>
      </c>
      <c r="U483" s="18" t="s">
        <v>510</v>
      </c>
      <c r="V483" s="6" t="s">
        <v>511</v>
      </c>
      <c r="W483" s="1" t="s">
        <v>259</v>
      </c>
      <c r="X483" s="5">
        <v>46219</v>
      </c>
      <c r="Y483" s="1">
        <f t="shared" si="92"/>
        <v>0</v>
      </c>
      <c r="Z483" s="6" t="s">
        <v>49</v>
      </c>
      <c r="AA483" s="3"/>
      <c r="AB483" s="3"/>
      <c r="AD483" s="133" t="str">
        <f t="shared" si="93"/>
        <v>Closed In July</v>
      </c>
    </row>
    <row r="484" spans="1:30" hidden="1">
      <c r="A484" s="21">
        <v>46219</v>
      </c>
      <c r="B484" s="1">
        <v>2026</v>
      </c>
      <c r="C484" s="33" t="s">
        <v>62</v>
      </c>
      <c r="D484" s="34" t="s">
        <v>123</v>
      </c>
      <c r="E484" s="1"/>
      <c r="F484" s="1" t="s">
        <v>19</v>
      </c>
      <c r="G484" s="8" t="s">
        <v>619</v>
      </c>
      <c r="H484" s="18">
        <v>8828840014</v>
      </c>
      <c r="I484" s="10" t="s">
        <v>64</v>
      </c>
      <c r="J484" s="18" t="s">
        <v>620</v>
      </c>
      <c r="K484" s="8" t="s">
        <v>63</v>
      </c>
      <c r="L484" s="33" t="s">
        <v>35</v>
      </c>
      <c r="M484" s="8" t="s">
        <v>471</v>
      </c>
      <c r="N484" s="8" t="s">
        <v>1108</v>
      </c>
      <c r="O484" s="6">
        <v>590</v>
      </c>
      <c r="P484" s="2" t="s">
        <v>686</v>
      </c>
      <c r="Q484" s="12" t="str">
        <f t="shared" ref="Q484:Q499" si="94">MID(P484,5,2)</f>
        <v>26</v>
      </c>
      <c r="R484" s="12" t="str">
        <f t="shared" ref="R484:R499" si="95">MID(P484,7,2)</f>
        <v>06</v>
      </c>
      <c r="S484" s="6" t="s">
        <v>140</v>
      </c>
      <c r="T484" s="6" t="s">
        <v>474</v>
      </c>
      <c r="U484" s="18" t="s">
        <v>510</v>
      </c>
      <c r="V484" s="6" t="s">
        <v>511</v>
      </c>
      <c r="W484" s="1" t="s">
        <v>259</v>
      </c>
      <c r="X484" s="5">
        <v>46219</v>
      </c>
      <c r="Y484" s="1">
        <f t="shared" ref="Y484:Y498" si="96">X484-A484</f>
        <v>0</v>
      </c>
      <c r="Z484" s="6" t="s">
        <v>49</v>
      </c>
      <c r="AA484" s="3"/>
      <c r="AB484" s="3"/>
      <c r="AD484" s="133" t="str">
        <f t="shared" si="93"/>
        <v>Closed In July</v>
      </c>
    </row>
    <row r="485" spans="1:30" hidden="1">
      <c r="A485" s="21">
        <v>46219</v>
      </c>
      <c r="B485" s="1">
        <v>2026</v>
      </c>
      <c r="C485" s="33" t="s">
        <v>62</v>
      </c>
      <c r="D485" s="34" t="s">
        <v>123</v>
      </c>
      <c r="E485" s="1"/>
      <c r="F485" s="1" t="s">
        <v>19</v>
      </c>
      <c r="G485" s="8" t="s">
        <v>619</v>
      </c>
      <c r="H485" s="18">
        <v>8828840014</v>
      </c>
      <c r="I485" s="10" t="s">
        <v>64</v>
      </c>
      <c r="J485" s="18" t="s">
        <v>620</v>
      </c>
      <c r="K485" s="8" t="s">
        <v>63</v>
      </c>
      <c r="L485" s="33" t="s">
        <v>35</v>
      </c>
      <c r="M485" s="8" t="s">
        <v>471</v>
      </c>
      <c r="N485" s="8" t="s">
        <v>1108</v>
      </c>
      <c r="O485" s="6">
        <v>590</v>
      </c>
      <c r="P485" s="2" t="s">
        <v>687</v>
      </c>
      <c r="Q485" s="12" t="str">
        <f t="shared" si="94"/>
        <v>26</v>
      </c>
      <c r="R485" s="12" t="str">
        <f t="shared" si="95"/>
        <v>06</v>
      </c>
      <c r="S485" s="6" t="s">
        <v>140</v>
      </c>
      <c r="T485" s="6" t="s">
        <v>474</v>
      </c>
      <c r="U485" s="18" t="s">
        <v>510</v>
      </c>
      <c r="V485" s="6" t="s">
        <v>511</v>
      </c>
      <c r="W485" s="1" t="s">
        <v>259</v>
      </c>
      <c r="X485" s="5">
        <v>46219</v>
      </c>
      <c r="Y485" s="1">
        <f t="shared" si="96"/>
        <v>0</v>
      </c>
      <c r="Z485" s="6" t="s">
        <v>49</v>
      </c>
      <c r="AA485" s="3"/>
      <c r="AB485" s="3"/>
      <c r="AD485" s="133" t="str">
        <f t="shared" si="93"/>
        <v>Closed In July</v>
      </c>
    </row>
    <row r="486" spans="1:30" hidden="1">
      <c r="A486" s="21">
        <v>46219</v>
      </c>
      <c r="B486" s="1">
        <v>2026</v>
      </c>
      <c r="C486" s="33" t="s">
        <v>62</v>
      </c>
      <c r="D486" s="34" t="s">
        <v>123</v>
      </c>
      <c r="E486" s="1"/>
      <c r="F486" s="1" t="s">
        <v>19</v>
      </c>
      <c r="G486" s="8" t="s">
        <v>619</v>
      </c>
      <c r="H486" s="18">
        <v>8828840014</v>
      </c>
      <c r="I486" s="10" t="s">
        <v>64</v>
      </c>
      <c r="J486" s="18" t="s">
        <v>620</v>
      </c>
      <c r="K486" s="8" t="s">
        <v>63</v>
      </c>
      <c r="L486" s="33" t="s">
        <v>35</v>
      </c>
      <c r="M486" s="8" t="s">
        <v>471</v>
      </c>
      <c r="N486" s="8" t="s">
        <v>1108</v>
      </c>
      <c r="O486" s="6">
        <v>590</v>
      </c>
      <c r="P486" s="2" t="s">
        <v>688</v>
      </c>
      <c r="Q486" s="12" t="str">
        <f t="shared" si="94"/>
        <v>26</v>
      </c>
      <c r="R486" s="12" t="str">
        <f t="shared" si="95"/>
        <v>06</v>
      </c>
      <c r="S486" s="6" t="s">
        <v>140</v>
      </c>
      <c r="T486" s="6" t="s">
        <v>474</v>
      </c>
      <c r="U486" s="18" t="s">
        <v>510</v>
      </c>
      <c r="V486" s="6" t="s">
        <v>511</v>
      </c>
      <c r="W486" s="1" t="s">
        <v>259</v>
      </c>
      <c r="X486" s="5">
        <v>46219</v>
      </c>
      <c r="Y486" s="1">
        <f t="shared" si="96"/>
        <v>0</v>
      </c>
      <c r="Z486" s="6" t="s">
        <v>49</v>
      </c>
      <c r="AA486" s="3"/>
      <c r="AB486" s="3"/>
      <c r="AD486" s="133" t="str">
        <f t="shared" si="93"/>
        <v>Closed In July</v>
      </c>
    </row>
    <row r="487" spans="1:30" hidden="1">
      <c r="A487" s="21">
        <v>46219</v>
      </c>
      <c r="B487" s="1">
        <v>2026</v>
      </c>
      <c r="C487" s="33" t="s">
        <v>62</v>
      </c>
      <c r="D487" s="34" t="s">
        <v>123</v>
      </c>
      <c r="E487" s="1"/>
      <c r="F487" s="1" t="s">
        <v>19</v>
      </c>
      <c r="G487" s="8" t="s">
        <v>619</v>
      </c>
      <c r="H487" s="18">
        <v>8828840014</v>
      </c>
      <c r="I487" s="10" t="s">
        <v>64</v>
      </c>
      <c r="J487" s="18" t="s">
        <v>620</v>
      </c>
      <c r="K487" s="8" t="s">
        <v>63</v>
      </c>
      <c r="L487" s="33" t="s">
        <v>35</v>
      </c>
      <c r="M487" s="8" t="s">
        <v>471</v>
      </c>
      <c r="N487" s="8" t="s">
        <v>1108</v>
      </c>
      <c r="O487" s="6">
        <v>590</v>
      </c>
      <c r="P487" s="2" t="s">
        <v>689</v>
      </c>
      <c r="Q487" s="12" t="str">
        <f t="shared" si="94"/>
        <v>26</v>
      </c>
      <c r="R487" s="12" t="str">
        <f t="shared" si="95"/>
        <v>06</v>
      </c>
      <c r="S487" s="6" t="s">
        <v>140</v>
      </c>
      <c r="T487" s="6" t="s">
        <v>474</v>
      </c>
      <c r="U487" s="18" t="s">
        <v>510</v>
      </c>
      <c r="V487" s="6" t="s">
        <v>511</v>
      </c>
      <c r="W487" s="1" t="s">
        <v>259</v>
      </c>
      <c r="X487" s="5">
        <v>46219</v>
      </c>
      <c r="Y487" s="1">
        <f t="shared" si="96"/>
        <v>0</v>
      </c>
      <c r="Z487" s="6" t="s">
        <v>49</v>
      </c>
      <c r="AA487" s="3"/>
      <c r="AB487" s="3"/>
      <c r="AD487" s="133" t="str">
        <f t="shared" si="93"/>
        <v>Closed In July</v>
      </c>
    </row>
    <row r="488" spans="1:30" hidden="1">
      <c r="A488" s="21">
        <v>46219</v>
      </c>
      <c r="B488" s="1">
        <v>2026</v>
      </c>
      <c r="C488" s="33" t="s">
        <v>62</v>
      </c>
      <c r="D488" s="34" t="s">
        <v>123</v>
      </c>
      <c r="E488" s="1"/>
      <c r="F488" s="1" t="s">
        <v>19</v>
      </c>
      <c r="G488" s="8" t="s">
        <v>619</v>
      </c>
      <c r="H488" s="18">
        <v>8828840014</v>
      </c>
      <c r="I488" s="10" t="s">
        <v>64</v>
      </c>
      <c r="J488" s="18" t="s">
        <v>620</v>
      </c>
      <c r="K488" s="8" t="s">
        <v>63</v>
      </c>
      <c r="L488" s="33" t="s">
        <v>35</v>
      </c>
      <c r="M488" s="8" t="s">
        <v>471</v>
      </c>
      <c r="N488" s="8" t="s">
        <v>1108</v>
      </c>
      <c r="O488" s="6">
        <v>590</v>
      </c>
      <c r="P488" s="2" t="s">
        <v>690</v>
      </c>
      <c r="Q488" s="12" t="str">
        <f t="shared" si="94"/>
        <v>26</v>
      </c>
      <c r="R488" s="12" t="str">
        <f t="shared" si="95"/>
        <v>06</v>
      </c>
      <c r="S488" s="6" t="s">
        <v>140</v>
      </c>
      <c r="T488" s="6" t="s">
        <v>474</v>
      </c>
      <c r="U488" s="18" t="s">
        <v>510</v>
      </c>
      <c r="V488" s="6" t="s">
        <v>511</v>
      </c>
      <c r="W488" s="1" t="s">
        <v>259</v>
      </c>
      <c r="X488" s="5">
        <v>46219</v>
      </c>
      <c r="Y488" s="1">
        <f t="shared" si="96"/>
        <v>0</v>
      </c>
      <c r="Z488" s="6" t="s">
        <v>49</v>
      </c>
      <c r="AA488" s="3"/>
      <c r="AB488" s="3"/>
      <c r="AD488" s="133" t="str">
        <f t="shared" si="93"/>
        <v>Closed In July</v>
      </c>
    </row>
    <row r="489" spans="1:30" hidden="1">
      <c r="A489" s="21">
        <v>46219</v>
      </c>
      <c r="B489" s="1">
        <v>2026</v>
      </c>
      <c r="C489" s="33" t="s">
        <v>62</v>
      </c>
      <c r="D489" s="34" t="s">
        <v>123</v>
      </c>
      <c r="E489" s="1"/>
      <c r="F489" s="1" t="s">
        <v>19</v>
      </c>
      <c r="G489" s="8" t="s">
        <v>619</v>
      </c>
      <c r="H489" s="18">
        <v>8828840014</v>
      </c>
      <c r="I489" s="10" t="s">
        <v>64</v>
      </c>
      <c r="J489" s="18" t="s">
        <v>620</v>
      </c>
      <c r="K489" s="8" t="s">
        <v>63</v>
      </c>
      <c r="L489" s="33" t="s">
        <v>35</v>
      </c>
      <c r="M489" s="8" t="s">
        <v>471</v>
      </c>
      <c r="N489" s="8" t="s">
        <v>1108</v>
      </c>
      <c r="O489" s="6">
        <v>590</v>
      </c>
      <c r="P489" s="2" t="s">
        <v>691</v>
      </c>
      <c r="Q489" s="12" t="str">
        <f t="shared" si="94"/>
        <v>26</v>
      </c>
      <c r="R489" s="12" t="str">
        <f t="shared" si="95"/>
        <v>06</v>
      </c>
      <c r="S489" s="6" t="s">
        <v>140</v>
      </c>
      <c r="T489" s="6" t="s">
        <v>474</v>
      </c>
      <c r="U489" s="18" t="s">
        <v>510</v>
      </c>
      <c r="V489" s="6" t="s">
        <v>511</v>
      </c>
      <c r="W489" s="1" t="s">
        <v>259</v>
      </c>
      <c r="X489" s="5">
        <v>46219</v>
      </c>
      <c r="Y489" s="1">
        <f t="shared" si="96"/>
        <v>0</v>
      </c>
      <c r="Z489" s="6" t="s">
        <v>49</v>
      </c>
      <c r="AA489" s="3"/>
      <c r="AB489" s="3"/>
      <c r="AD489" s="133" t="str">
        <f t="shared" si="93"/>
        <v>Closed In July</v>
      </c>
    </row>
    <row r="490" spans="1:30" hidden="1">
      <c r="A490" s="21">
        <v>46219</v>
      </c>
      <c r="B490" s="1">
        <v>2026</v>
      </c>
      <c r="C490" s="33" t="s">
        <v>62</v>
      </c>
      <c r="D490" s="34" t="s">
        <v>123</v>
      </c>
      <c r="E490" s="1"/>
      <c r="F490" s="1" t="s">
        <v>19</v>
      </c>
      <c r="G490" s="8" t="s">
        <v>619</v>
      </c>
      <c r="H490" s="18">
        <v>8828840014</v>
      </c>
      <c r="I490" s="10" t="s">
        <v>64</v>
      </c>
      <c r="J490" s="18" t="s">
        <v>620</v>
      </c>
      <c r="K490" s="8" t="s">
        <v>63</v>
      </c>
      <c r="L490" s="33" t="s">
        <v>35</v>
      </c>
      <c r="M490" s="8" t="s">
        <v>471</v>
      </c>
      <c r="N490" s="8" t="s">
        <v>1108</v>
      </c>
      <c r="O490" s="6">
        <v>590</v>
      </c>
      <c r="P490" s="2" t="s">
        <v>692</v>
      </c>
      <c r="Q490" s="12" t="str">
        <f t="shared" si="94"/>
        <v>26</v>
      </c>
      <c r="R490" s="12" t="str">
        <f t="shared" si="95"/>
        <v>06</v>
      </c>
      <c r="S490" s="6" t="s">
        <v>140</v>
      </c>
      <c r="T490" s="6" t="s">
        <v>474</v>
      </c>
      <c r="U490" s="18" t="s">
        <v>510</v>
      </c>
      <c r="V490" s="6" t="s">
        <v>511</v>
      </c>
      <c r="W490" s="1" t="s">
        <v>259</v>
      </c>
      <c r="X490" s="5">
        <v>46219</v>
      </c>
      <c r="Y490" s="1">
        <f t="shared" si="96"/>
        <v>0</v>
      </c>
      <c r="Z490" s="6" t="s">
        <v>49</v>
      </c>
      <c r="AA490" s="3"/>
      <c r="AB490" s="3"/>
      <c r="AD490" s="133" t="str">
        <f t="shared" si="93"/>
        <v>Closed In July</v>
      </c>
    </row>
    <row r="491" spans="1:30" hidden="1">
      <c r="A491" s="21">
        <v>46219</v>
      </c>
      <c r="B491" s="1">
        <v>2026</v>
      </c>
      <c r="C491" s="33" t="s">
        <v>62</v>
      </c>
      <c r="D491" s="34" t="s">
        <v>123</v>
      </c>
      <c r="E491" s="1"/>
      <c r="F491" s="1" t="s">
        <v>19</v>
      </c>
      <c r="G491" s="8" t="s">
        <v>619</v>
      </c>
      <c r="H491" s="18">
        <v>8828840014</v>
      </c>
      <c r="I491" s="10" t="s">
        <v>64</v>
      </c>
      <c r="J491" s="18" t="s">
        <v>620</v>
      </c>
      <c r="K491" s="8" t="s">
        <v>63</v>
      </c>
      <c r="L491" s="33" t="s">
        <v>35</v>
      </c>
      <c r="M491" s="8" t="s">
        <v>471</v>
      </c>
      <c r="N491" s="8" t="s">
        <v>1108</v>
      </c>
      <c r="O491" s="6">
        <v>590</v>
      </c>
      <c r="P491" s="2" t="s">
        <v>693</v>
      </c>
      <c r="Q491" s="12" t="str">
        <f t="shared" si="94"/>
        <v>26</v>
      </c>
      <c r="R491" s="12" t="str">
        <f t="shared" si="95"/>
        <v>06</v>
      </c>
      <c r="S491" s="6" t="s">
        <v>140</v>
      </c>
      <c r="T491" s="6" t="s">
        <v>474</v>
      </c>
      <c r="U491" s="18" t="s">
        <v>510</v>
      </c>
      <c r="V491" s="6" t="s">
        <v>511</v>
      </c>
      <c r="W491" s="1" t="s">
        <v>259</v>
      </c>
      <c r="X491" s="5">
        <v>46219</v>
      </c>
      <c r="Y491" s="1">
        <f t="shared" si="96"/>
        <v>0</v>
      </c>
      <c r="Z491" s="6" t="s">
        <v>49</v>
      </c>
      <c r="AA491" s="3"/>
      <c r="AB491" s="3"/>
      <c r="AD491" s="133" t="str">
        <f t="shared" si="93"/>
        <v>Closed In July</v>
      </c>
    </row>
    <row r="492" spans="1:30" hidden="1">
      <c r="A492" s="21">
        <v>46219</v>
      </c>
      <c r="B492" s="1">
        <v>2026</v>
      </c>
      <c r="C492" s="33" t="s">
        <v>62</v>
      </c>
      <c r="D492" s="34" t="s">
        <v>123</v>
      </c>
      <c r="E492" s="1"/>
      <c r="F492" s="1" t="s">
        <v>19</v>
      </c>
      <c r="G492" s="8" t="s">
        <v>619</v>
      </c>
      <c r="H492" s="18">
        <v>8828840014</v>
      </c>
      <c r="I492" s="10" t="s">
        <v>64</v>
      </c>
      <c r="J492" s="18" t="s">
        <v>620</v>
      </c>
      <c r="K492" s="8" t="s">
        <v>63</v>
      </c>
      <c r="L492" s="33" t="s">
        <v>35</v>
      </c>
      <c r="M492" s="8" t="s">
        <v>471</v>
      </c>
      <c r="N492" s="8" t="s">
        <v>1108</v>
      </c>
      <c r="O492" s="6">
        <v>590</v>
      </c>
      <c r="P492" s="2" t="s">
        <v>694</v>
      </c>
      <c r="Q492" s="12" t="str">
        <f t="shared" si="94"/>
        <v>26</v>
      </c>
      <c r="R492" s="12" t="str">
        <f t="shared" si="95"/>
        <v>06</v>
      </c>
      <c r="S492" s="6" t="s">
        <v>140</v>
      </c>
      <c r="T492" s="6" t="s">
        <v>474</v>
      </c>
      <c r="U492" s="18" t="s">
        <v>510</v>
      </c>
      <c r="V492" s="6" t="s">
        <v>511</v>
      </c>
      <c r="W492" s="1" t="s">
        <v>259</v>
      </c>
      <c r="X492" s="5">
        <v>46219</v>
      </c>
      <c r="Y492" s="1">
        <f t="shared" si="96"/>
        <v>0</v>
      </c>
      <c r="Z492" s="6" t="s">
        <v>49</v>
      </c>
      <c r="AA492" s="3"/>
      <c r="AB492" s="3"/>
      <c r="AD492" s="133" t="str">
        <f t="shared" si="93"/>
        <v>Closed In July</v>
      </c>
    </row>
    <row r="493" spans="1:30" hidden="1">
      <c r="A493" s="21">
        <v>46219</v>
      </c>
      <c r="B493" s="1">
        <v>2026</v>
      </c>
      <c r="C493" s="33" t="s">
        <v>62</v>
      </c>
      <c r="D493" s="34" t="s">
        <v>123</v>
      </c>
      <c r="E493" s="1"/>
      <c r="F493" s="1" t="s">
        <v>19</v>
      </c>
      <c r="G493" s="8" t="s">
        <v>619</v>
      </c>
      <c r="H493" s="18">
        <v>8828840014</v>
      </c>
      <c r="I493" s="10" t="s">
        <v>64</v>
      </c>
      <c r="J493" s="18" t="s">
        <v>620</v>
      </c>
      <c r="K493" s="8" t="s">
        <v>63</v>
      </c>
      <c r="L493" s="33" t="s">
        <v>35</v>
      </c>
      <c r="M493" s="8" t="s">
        <v>471</v>
      </c>
      <c r="N493" s="8" t="s">
        <v>1108</v>
      </c>
      <c r="O493" s="6">
        <v>590</v>
      </c>
      <c r="P493" s="2" t="s">
        <v>695</v>
      </c>
      <c r="Q493" s="12" t="str">
        <f t="shared" si="94"/>
        <v>26</v>
      </c>
      <c r="R493" s="12" t="str">
        <f t="shared" si="95"/>
        <v>06</v>
      </c>
      <c r="S493" s="6" t="s">
        <v>140</v>
      </c>
      <c r="T493" s="6" t="s">
        <v>474</v>
      </c>
      <c r="U493" s="18" t="s">
        <v>510</v>
      </c>
      <c r="V493" s="6" t="s">
        <v>511</v>
      </c>
      <c r="W493" s="1" t="s">
        <v>259</v>
      </c>
      <c r="X493" s="5">
        <v>46219</v>
      </c>
      <c r="Y493" s="1">
        <f t="shared" si="96"/>
        <v>0</v>
      </c>
      <c r="Z493" s="6" t="s">
        <v>49</v>
      </c>
      <c r="AA493" s="3"/>
      <c r="AB493" s="3"/>
      <c r="AD493" s="133" t="str">
        <f t="shared" si="93"/>
        <v>Closed In July</v>
      </c>
    </row>
    <row r="494" spans="1:30" hidden="1">
      <c r="A494" s="21">
        <v>46219</v>
      </c>
      <c r="B494" s="1">
        <v>2026</v>
      </c>
      <c r="C494" s="33" t="s">
        <v>62</v>
      </c>
      <c r="D494" s="34" t="s">
        <v>123</v>
      </c>
      <c r="E494" s="1"/>
      <c r="F494" s="1" t="s">
        <v>19</v>
      </c>
      <c r="G494" s="8" t="s">
        <v>619</v>
      </c>
      <c r="H494" s="18">
        <v>8828840014</v>
      </c>
      <c r="I494" s="10" t="s">
        <v>64</v>
      </c>
      <c r="J494" s="18" t="s">
        <v>620</v>
      </c>
      <c r="K494" s="8" t="s">
        <v>63</v>
      </c>
      <c r="L494" s="33" t="s">
        <v>35</v>
      </c>
      <c r="M494" s="8" t="s">
        <v>471</v>
      </c>
      <c r="N494" s="8" t="s">
        <v>1108</v>
      </c>
      <c r="O494" s="6">
        <v>590</v>
      </c>
      <c r="P494" s="2" t="s">
        <v>696</v>
      </c>
      <c r="Q494" s="12" t="str">
        <f t="shared" si="94"/>
        <v>26</v>
      </c>
      <c r="R494" s="12" t="str">
        <f t="shared" si="95"/>
        <v>06</v>
      </c>
      <c r="S494" s="6" t="s">
        <v>140</v>
      </c>
      <c r="T494" s="6" t="s">
        <v>474</v>
      </c>
      <c r="U494" s="18" t="s">
        <v>510</v>
      </c>
      <c r="V494" s="6" t="s">
        <v>511</v>
      </c>
      <c r="W494" s="1" t="s">
        <v>259</v>
      </c>
      <c r="X494" s="5">
        <v>46219</v>
      </c>
      <c r="Y494" s="1">
        <f t="shared" si="96"/>
        <v>0</v>
      </c>
      <c r="Z494" s="6" t="s">
        <v>49</v>
      </c>
      <c r="AA494" s="3"/>
      <c r="AB494" s="3"/>
      <c r="AD494" s="133" t="str">
        <f t="shared" si="93"/>
        <v>Closed In July</v>
      </c>
    </row>
    <row r="495" spans="1:30" hidden="1">
      <c r="A495" s="21">
        <v>46219</v>
      </c>
      <c r="B495" s="1">
        <v>2026</v>
      </c>
      <c r="C495" s="33" t="s">
        <v>62</v>
      </c>
      <c r="D495" s="34" t="s">
        <v>123</v>
      </c>
      <c r="E495" s="1"/>
      <c r="F495" s="1" t="s">
        <v>19</v>
      </c>
      <c r="G495" s="8" t="s">
        <v>619</v>
      </c>
      <c r="H495" s="18">
        <v>8828840014</v>
      </c>
      <c r="I495" s="10" t="s">
        <v>64</v>
      </c>
      <c r="J495" s="18" t="s">
        <v>620</v>
      </c>
      <c r="K495" s="8" t="s">
        <v>63</v>
      </c>
      <c r="L495" s="33" t="s">
        <v>35</v>
      </c>
      <c r="M495" s="8" t="s">
        <v>471</v>
      </c>
      <c r="N495" s="8" t="s">
        <v>1108</v>
      </c>
      <c r="O495" s="6">
        <v>590</v>
      </c>
      <c r="P495" s="2" t="s">
        <v>697</v>
      </c>
      <c r="Q495" s="12" t="str">
        <f t="shared" si="94"/>
        <v>26</v>
      </c>
      <c r="R495" s="12" t="str">
        <f t="shared" si="95"/>
        <v>06</v>
      </c>
      <c r="S495" s="6" t="s">
        <v>140</v>
      </c>
      <c r="T495" s="6" t="s">
        <v>474</v>
      </c>
      <c r="U495" s="18" t="s">
        <v>510</v>
      </c>
      <c r="V495" s="6" t="s">
        <v>511</v>
      </c>
      <c r="W495" s="1" t="s">
        <v>259</v>
      </c>
      <c r="X495" s="5">
        <v>46219</v>
      </c>
      <c r="Y495" s="1">
        <f t="shared" si="96"/>
        <v>0</v>
      </c>
      <c r="Z495" s="6" t="s">
        <v>49</v>
      </c>
      <c r="AA495" s="3"/>
      <c r="AB495" s="3"/>
      <c r="AD495" s="133" t="str">
        <f t="shared" si="93"/>
        <v>Closed In July</v>
      </c>
    </row>
    <row r="496" spans="1:30" hidden="1">
      <c r="A496" s="21">
        <v>46219</v>
      </c>
      <c r="B496" s="1">
        <v>2026</v>
      </c>
      <c r="C496" s="33" t="s">
        <v>62</v>
      </c>
      <c r="D496" s="34" t="s">
        <v>123</v>
      </c>
      <c r="E496" s="1"/>
      <c r="F496" s="1" t="s">
        <v>19</v>
      </c>
      <c r="G496" s="8" t="s">
        <v>619</v>
      </c>
      <c r="H496" s="18">
        <v>8828840014</v>
      </c>
      <c r="I496" s="10" t="s">
        <v>64</v>
      </c>
      <c r="J496" s="18" t="s">
        <v>620</v>
      </c>
      <c r="K496" s="8" t="s">
        <v>63</v>
      </c>
      <c r="L496" s="33" t="s">
        <v>35</v>
      </c>
      <c r="M496" s="8" t="s">
        <v>471</v>
      </c>
      <c r="N496" s="8" t="s">
        <v>1108</v>
      </c>
      <c r="O496" s="6">
        <v>590</v>
      </c>
      <c r="P496" s="2" t="s">
        <v>698</v>
      </c>
      <c r="Q496" s="12" t="str">
        <f t="shared" si="94"/>
        <v>26</v>
      </c>
      <c r="R496" s="12" t="str">
        <f t="shared" si="95"/>
        <v>06</v>
      </c>
      <c r="S496" s="6" t="s">
        <v>140</v>
      </c>
      <c r="T496" s="6" t="s">
        <v>474</v>
      </c>
      <c r="U496" s="18" t="s">
        <v>510</v>
      </c>
      <c r="V496" s="6" t="s">
        <v>511</v>
      </c>
      <c r="W496" s="1" t="s">
        <v>259</v>
      </c>
      <c r="X496" s="5">
        <v>46219</v>
      </c>
      <c r="Y496" s="1">
        <f t="shared" si="96"/>
        <v>0</v>
      </c>
      <c r="Z496" s="6" t="s">
        <v>49</v>
      </c>
      <c r="AA496" s="3"/>
      <c r="AB496" s="3"/>
      <c r="AD496" s="133" t="str">
        <f t="shared" si="93"/>
        <v>Closed In July</v>
      </c>
    </row>
    <row r="497" spans="1:30" hidden="1">
      <c r="A497" s="21">
        <v>46219</v>
      </c>
      <c r="B497" s="1">
        <v>2026</v>
      </c>
      <c r="C497" s="33" t="s">
        <v>62</v>
      </c>
      <c r="D497" s="34" t="s">
        <v>123</v>
      </c>
      <c r="E497" s="1"/>
      <c r="F497" s="1" t="s">
        <v>19</v>
      </c>
      <c r="G497" s="8" t="s">
        <v>619</v>
      </c>
      <c r="H497" s="18">
        <v>8828840014</v>
      </c>
      <c r="I497" s="10" t="s">
        <v>64</v>
      </c>
      <c r="J497" s="18" t="s">
        <v>620</v>
      </c>
      <c r="K497" s="8" t="s">
        <v>63</v>
      </c>
      <c r="L497" s="33" t="s">
        <v>35</v>
      </c>
      <c r="M497" s="8" t="s">
        <v>471</v>
      </c>
      <c r="N497" s="8" t="s">
        <v>1108</v>
      </c>
      <c r="O497" s="6">
        <v>590</v>
      </c>
      <c r="P497" s="2" t="s">
        <v>699</v>
      </c>
      <c r="Q497" s="12" t="str">
        <f t="shared" si="94"/>
        <v>26</v>
      </c>
      <c r="R497" s="12" t="str">
        <f t="shared" si="95"/>
        <v>06</v>
      </c>
      <c r="S497" s="6" t="s">
        <v>140</v>
      </c>
      <c r="T497" s="6" t="s">
        <v>474</v>
      </c>
      <c r="U497" s="18" t="s">
        <v>510</v>
      </c>
      <c r="V497" s="6" t="s">
        <v>511</v>
      </c>
      <c r="W497" s="1" t="s">
        <v>259</v>
      </c>
      <c r="X497" s="5">
        <v>46219</v>
      </c>
      <c r="Y497" s="1">
        <f t="shared" si="96"/>
        <v>0</v>
      </c>
      <c r="Z497" s="6" t="s">
        <v>49</v>
      </c>
      <c r="AA497" s="3"/>
      <c r="AB497" s="3"/>
      <c r="AD497" s="133" t="str">
        <f t="shared" si="93"/>
        <v>Closed In July</v>
      </c>
    </row>
    <row r="498" spans="1:30" hidden="1">
      <c r="A498" s="21">
        <v>46219</v>
      </c>
      <c r="B498" s="1">
        <v>2026</v>
      </c>
      <c r="C498" s="33" t="s">
        <v>62</v>
      </c>
      <c r="D498" s="34" t="s">
        <v>123</v>
      </c>
      <c r="E498" s="1"/>
      <c r="F498" s="1" t="s">
        <v>19</v>
      </c>
      <c r="G498" s="8" t="s">
        <v>619</v>
      </c>
      <c r="H498" s="18">
        <v>8828840014</v>
      </c>
      <c r="I498" s="10" t="s">
        <v>64</v>
      </c>
      <c r="J498" s="18" t="s">
        <v>620</v>
      </c>
      <c r="K498" s="8" t="s">
        <v>63</v>
      </c>
      <c r="L498" s="33" t="s">
        <v>35</v>
      </c>
      <c r="M498" s="8" t="s">
        <v>471</v>
      </c>
      <c r="N498" s="8" t="s">
        <v>1108</v>
      </c>
      <c r="O498" s="6">
        <v>590</v>
      </c>
      <c r="P498" s="2" t="s">
        <v>700</v>
      </c>
      <c r="Q498" s="12" t="str">
        <f t="shared" si="94"/>
        <v>26</v>
      </c>
      <c r="R498" s="12" t="str">
        <f t="shared" si="95"/>
        <v>06</v>
      </c>
      <c r="S498" s="6" t="s">
        <v>140</v>
      </c>
      <c r="T498" s="6" t="s">
        <v>474</v>
      </c>
      <c r="U498" s="18" t="s">
        <v>510</v>
      </c>
      <c r="V498" s="6" t="s">
        <v>511</v>
      </c>
      <c r="W498" s="1" t="s">
        <v>259</v>
      </c>
      <c r="X498" s="5">
        <v>46219</v>
      </c>
      <c r="Y498" s="1">
        <f t="shared" si="96"/>
        <v>0</v>
      </c>
      <c r="Z498" s="6" t="s">
        <v>49</v>
      </c>
      <c r="AA498" s="3"/>
      <c r="AB498" s="3"/>
      <c r="AD498" s="133" t="str">
        <f t="shared" si="93"/>
        <v>Closed In July</v>
      </c>
    </row>
    <row r="499" spans="1:30" hidden="1">
      <c r="A499" s="21">
        <v>46190</v>
      </c>
      <c r="B499" s="1">
        <v>2026</v>
      </c>
      <c r="C499" s="8" t="s">
        <v>65</v>
      </c>
      <c r="D499" s="34" t="s">
        <v>123</v>
      </c>
      <c r="E499" s="1"/>
      <c r="F499" s="1" t="s">
        <v>19</v>
      </c>
      <c r="G499" s="11" t="s">
        <v>701</v>
      </c>
      <c r="H499" s="11" t="s">
        <v>702</v>
      </c>
      <c r="I499" s="17" t="s">
        <v>66</v>
      </c>
      <c r="J499" s="8" t="s">
        <v>703</v>
      </c>
      <c r="K499" s="8" t="s">
        <v>44</v>
      </c>
      <c r="L499" s="8" t="s">
        <v>35</v>
      </c>
      <c r="M499" s="8" t="s">
        <v>704</v>
      </c>
      <c r="N499" s="54" t="s">
        <v>705</v>
      </c>
      <c r="O499" s="8">
        <v>540</v>
      </c>
      <c r="P499" s="6" t="s">
        <v>706</v>
      </c>
      <c r="Q499" s="12" t="str">
        <f t="shared" si="94"/>
        <v>24</v>
      </c>
      <c r="R499" s="12" t="str">
        <f t="shared" si="95"/>
        <v>05</v>
      </c>
      <c r="S499" s="6" t="s">
        <v>129</v>
      </c>
      <c r="T499" s="6" t="s">
        <v>130</v>
      </c>
      <c r="U499" s="2" t="s">
        <v>561</v>
      </c>
      <c r="V499" s="6" t="s">
        <v>515</v>
      </c>
      <c r="W499" s="1" t="s">
        <v>1112</v>
      </c>
      <c r="X499" s="5">
        <v>46219</v>
      </c>
      <c r="Y499" s="1">
        <f t="shared" ref="Y499" si="97">X499-A499</f>
        <v>29</v>
      </c>
      <c r="Z499" s="6" t="s">
        <v>49</v>
      </c>
      <c r="AA499" s="3"/>
      <c r="AB499" s="3"/>
      <c r="AD499" s="133" t="str">
        <f t="shared" si="93"/>
        <v>Closed In July</v>
      </c>
    </row>
    <row r="500" spans="1:30" hidden="1">
      <c r="A500" s="21">
        <v>46190</v>
      </c>
      <c r="B500" s="1">
        <v>2026</v>
      </c>
      <c r="C500" s="8" t="s">
        <v>67</v>
      </c>
      <c r="D500" s="8" t="s">
        <v>459</v>
      </c>
      <c r="E500" s="1"/>
      <c r="F500" s="1" t="s">
        <v>19</v>
      </c>
      <c r="G500" s="8" t="s">
        <v>707</v>
      </c>
      <c r="H500" s="8">
        <v>8826633540</v>
      </c>
      <c r="I500" s="17" t="s">
        <v>69</v>
      </c>
      <c r="J500" s="8" t="s">
        <v>708</v>
      </c>
      <c r="K500" s="8" t="s">
        <v>68</v>
      </c>
      <c r="L500" s="8" t="s">
        <v>16</v>
      </c>
      <c r="M500" s="8" t="s">
        <v>709</v>
      </c>
      <c r="N500" s="8" t="s">
        <v>710</v>
      </c>
      <c r="O500" s="8">
        <v>445</v>
      </c>
      <c r="P500" s="37">
        <v>26211031006684</v>
      </c>
      <c r="Q500" s="12" t="str">
        <f>MID(P500,3,2)</f>
        <v>21</v>
      </c>
      <c r="R500" s="12" t="str">
        <f>MID(P500,5,2)</f>
        <v>10</v>
      </c>
      <c r="S500" s="6" t="s">
        <v>129</v>
      </c>
      <c r="T500" s="6" t="s">
        <v>130</v>
      </c>
      <c r="U500" s="54" t="s">
        <v>711</v>
      </c>
      <c r="V500" s="1" t="s">
        <v>258</v>
      </c>
      <c r="W500" s="1" t="s">
        <v>712</v>
      </c>
      <c r="X500" s="5">
        <v>46220</v>
      </c>
      <c r="Y500" s="1">
        <f t="shared" ref="Y500" si="98">X500-A500</f>
        <v>30</v>
      </c>
      <c r="Z500" s="38">
        <v>46203</v>
      </c>
      <c r="AA500" s="3"/>
      <c r="AB500" s="3"/>
      <c r="AD500" s="133" t="str">
        <f t="shared" si="93"/>
        <v>Closed In July</v>
      </c>
    </row>
    <row r="501" spans="1:30" hidden="1">
      <c r="A501" s="21">
        <v>46190</v>
      </c>
      <c r="B501" s="1">
        <v>2026</v>
      </c>
      <c r="C501" s="8" t="s">
        <v>67</v>
      </c>
      <c r="D501" s="8" t="s">
        <v>459</v>
      </c>
      <c r="E501" s="1"/>
      <c r="F501" s="1" t="s">
        <v>19</v>
      </c>
      <c r="G501" s="8" t="s">
        <v>707</v>
      </c>
      <c r="H501" s="8">
        <v>8826633540</v>
      </c>
      <c r="I501" s="17" t="s">
        <v>69</v>
      </c>
      <c r="J501" s="8" t="s">
        <v>708</v>
      </c>
      <c r="K501" s="8" t="s">
        <v>68</v>
      </c>
      <c r="L501" s="8" t="s">
        <v>16</v>
      </c>
      <c r="M501" s="8" t="s">
        <v>709</v>
      </c>
      <c r="N501" s="8" t="s">
        <v>710</v>
      </c>
      <c r="O501" s="8">
        <v>445</v>
      </c>
      <c r="P501" s="37">
        <v>26211031005568</v>
      </c>
      <c r="Q501" s="12" t="str">
        <f>MID(P501,3,2)</f>
        <v>21</v>
      </c>
      <c r="R501" s="12" t="str">
        <f>MID(P501,5,2)</f>
        <v>10</v>
      </c>
      <c r="S501" s="6" t="s">
        <v>129</v>
      </c>
      <c r="T501" s="6" t="s">
        <v>130</v>
      </c>
      <c r="U501" s="54" t="s">
        <v>711</v>
      </c>
      <c r="V501" s="1" t="s">
        <v>258</v>
      </c>
      <c r="W501" s="1" t="s">
        <v>712</v>
      </c>
      <c r="X501" s="5">
        <v>46220</v>
      </c>
      <c r="Y501" s="1">
        <f t="shared" ref="Y501:Y502" si="99">X501-A501</f>
        <v>30</v>
      </c>
      <c r="Z501" s="38">
        <v>46203</v>
      </c>
      <c r="AA501" s="3"/>
      <c r="AB501" s="3"/>
      <c r="AD501" s="133" t="str">
        <f t="shared" si="93"/>
        <v>Closed In July</v>
      </c>
    </row>
    <row r="502" spans="1:30" hidden="1">
      <c r="A502" s="9">
        <v>46134</v>
      </c>
      <c r="B502" s="1">
        <v>2026</v>
      </c>
      <c r="C502" s="8" t="s">
        <v>26</v>
      </c>
      <c r="D502" s="11" t="s">
        <v>179</v>
      </c>
      <c r="E502" s="1"/>
      <c r="F502" s="1" t="s">
        <v>19</v>
      </c>
      <c r="G502" s="8" t="s">
        <v>180</v>
      </c>
      <c r="H502" s="8">
        <v>8248438488</v>
      </c>
      <c r="I502" s="10" t="s">
        <v>30</v>
      </c>
      <c r="J502" s="8" t="s">
        <v>181</v>
      </c>
      <c r="K502" s="8" t="s">
        <v>27</v>
      </c>
      <c r="L502" s="8" t="s">
        <v>28</v>
      </c>
      <c r="M502" s="2" t="s">
        <v>137</v>
      </c>
      <c r="N502" s="6" t="s">
        <v>138</v>
      </c>
      <c r="O502" s="11">
        <v>550</v>
      </c>
      <c r="P502" s="2" t="s">
        <v>713</v>
      </c>
      <c r="Q502" s="12" t="str">
        <f t="shared" ref="Q502:Q529" si="100">MID(P502,5,2)</f>
        <v>23</v>
      </c>
      <c r="R502" s="12" t="str">
        <f t="shared" ref="R502:R529" si="101">MID(P502,7,2)</f>
        <v>05</v>
      </c>
      <c r="S502" s="6" t="s">
        <v>129</v>
      </c>
      <c r="T502" s="1" t="s">
        <v>130</v>
      </c>
      <c r="U502" s="6" t="s">
        <v>142</v>
      </c>
      <c r="V502" s="1" t="s">
        <v>143</v>
      </c>
      <c r="W502" s="1" t="s">
        <v>133</v>
      </c>
      <c r="X502" s="5">
        <v>46219</v>
      </c>
      <c r="Y502" s="1">
        <f t="shared" si="99"/>
        <v>85</v>
      </c>
      <c r="Z502" s="5">
        <v>46219</v>
      </c>
      <c r="AA502" s="3"/>
      <c r="AB502" s="3"/>
      <c r="AD502" s="133" t="str">
        <f t="shared" si="93"/>
        <v>Closed In July</v>
      </c>
    </row>
    <row r="503" spans="1:30" hidden="1">
      <c r="A503" s="9">
        <v>46134</v>
      </c>
      <c r="B503" s="1">
        <v>2026</v>
      </c>
      <c r="C503" s="8" t="s">
        <v>26</v>
      </c>
      <c r="D503" s="11" t="s">
        <v>179</v>
      </c>
      <c r="E503" s="1"/>
      <c r="F503" s="1" t="s">
        <v>19</v>
      </c>
      <c r="G503" s="8" t="s">
        <v>180</v>
      </c>
      <c r="H503" s="8">
        <v>8248438488</v>
      </c>
      <c r="I503" s="10" t="s">
        <v>30</v>
      </c>
      <c r="J503" s="8" t="s">
        <v>181</v>
      </c>
      <c r="K503" s="8" t="s">
        <v>27</v>
      </c>
      <c r="L503" s="8" t="s">
        <v>28</v>
      </c>
      <c r="M503" s="2" t="s">
        <v>588</v>
      </c>
      <c r="N503" s="6" t="s">
        <v>138</v>
      </c>
      <c r="O503" s="11">
        <v>550</v>
      </c>
      <c r="P503" s="2" t="s">
        <v>714</v>
      </c>
      <c r="Q503" s="12" t="str">
        <f t="shared" si="100"/>
        <v>23</v>
      </c>
      <c r="R503" s="12" t="str">
        <f t="shared" si="101"/>
        <v>05</v>
      </c>
      <c r="S503" s="6" t="s">
        <v>129</v>
      </c>
      <c r="T503" s="1" t="s">
        <v>130</v>
      </c>
      <c r="U503" s="6" t="s">
        <v>142</v>
      </c>
      <c r="V503" s="1" t="s">
        <v>143</v>
      </c>
      <c r="W503" s="1" t="s">
        <v>133</v>
      </c>
      <c r="X503" s="5">
        <v>46219</v>
      </c>
      <c r="Y503" s="1">
        <f t="shared" ref="Y503:Y507" si="102">X503-A503</f>
        <v>85</v>
      </c>
      <c r="Z503" s="5">
        <v>46219</v>
      </c>
      <c r="AA503" s="3"/>
      <c r="AB503" s="3"/>
      <c r="AD503" s="133" t="str">
        <f t="shared" si="93"/>
        <v>Closed In July</v>
      </c>
    </row>
    <row r="504" spans="1:30" hidden="1">
      <c r="A504" s="9">
        <v>46134</v>
      </c>
      <c r="B504" s="1">
        <v>2026</v>
      </c>
      <c r="C504" s="8" t="s">
        <v>26</v>
      </c>
      <c r="D504" s="11" t="s">
        <v>179</v>
      </c>
      <c r="E504" s="1"/>
      <c r="F504" s="1" t="s">
        <v>19</v>
      </c>
      <c r="G504" s="8" t="s">
        <v>180</v>
      </c>
      <c r="H504" s="8">
        <v>8248438488</v>
      </c>
      <c r="I504" s="10" t="s">
        <v>30</v>
      </c>
      <c r="J504" s="8" t="s">
        <v>181</v>
      </c>
      <c r="K504" s="8" t="s">
        <v>27</v>
      </c>
      <c r="L504" s="8" t="s">
        <v>28</v>
      </c>
      <c r="M504" s="2" t="s">
        <v>588</v>
      </c>
      <c r="N504" s="6" t="s">
        <v>138</v>
      </c>
      <c r="O504" s="11">
        <v>550</v>
      </c>
      <c r="P504" s="2" t="s">
        <v>715</v>
      </c>
      <c r="Q504" s="12" t="str">
        <f t="shared" si="100"/>
        <v>23</v>
      </c>
      <c r="R504" s="12" t="str">
        <f t="shared" si="101"/>
        <v>05</v>
      </c>
      <c r="S504" s="6" t="s">
        <v>129</v>
      </c>
      <c r="T504" s="1" t="s">
        <v>130</v>
      </c>
      <c r="U504" s="6" t="s">
        <v>142</v>
      </c>
      <c r="V504" s="1" t="s">
        <v>143</v>
      </c>
      <c r="W504" s="1" t="s">
        <v>133</v>
      </c>
      <c r="X504" s="5">
        <v>46219</v>
      </c>
      <c r="Y504" s="1">
        <f t="shared" si="102"/>
        <v>85</v>
      </c>
      <c r="Z504" s="5">
        <v>46219</v>
      </c>
      <c r="AA504" s="3"/>
      <c r="AB504" s="3"/>
      <c r="AD504" s="133" t="str">
        <f t="shared" si="93"/>
        <v>Closed In July</v>
      </c>
    </row>
    <row r="505" spans="1:30" hidden="1">
      <c r="A505" s="9">
        <v>46134</v>
      </c>
      <c r="B505" s="1">
        <v>2026</v>
      </c>
      <c r="C505" s="8" t="s">
        <v>26</v>
      </c>
      <c r="D505" s="11" t="s">
        <v>179</v>
      </c>
      <c r="E505" s="1"/>
      <c r="F505" s="1" t="s">
        <v>19</v>
      </c>
      <c r="G505" s="8" t="s">
        <v>180</v>
      </c>
      <c r="H505" s="8">
        <v>8248438488</v>
      </c>
      <c r="I505" s="10" t="s">
        <v>30</v>
      </c>
      <c r="J505" s="8" t="s">
        <v>181</v>
      </c>
      <c r="K505" s="8" t="s">
        <v>27</v>
      </c>
      <c r="L505" s="8" t="s">
        <v>28</v>
      </c>
      <c r="M505" s="2" t="s">
        <v>588</v>
      </c>
      <c r="N505" s="6" t="s">
        <v>138</v>
      </c>
      <c r="O505" s="11">
        <v>550</v>
      </c>
      <c r="P505" s="2" t="s">
        <v>716</v>
      </c>
      <c r="Q505" s="12" t="str">
        <f t="shared" si="100"/>
        <v>23</v>
      </c>
      <c r="R505" s="12" t="str">
        <f t="shared" si="101"/>
        <v>05</v>
      </c>
      <c r="S505" s="6" t="s">
        <v>129</v>
      </c>
      <c r="T505" s="1" t="s">
        <v>130</v>
      </c>
      <c r="U505" s="6" t="s">
        <v>142</v>
      </c>
      <c r="V505" s="1" t="s">
        <v>143</v>
      </c>
      <c r="W505" s="1" t="s">
        <v>133</v>
      </c>
      <c r="X505" s="5">
        <v>46219</v>
      </c>
      <c r="Y505" s="1">
        <f t="shared" si="102"/>
        <v>85</v>
      </c>
      <c r="Z505" s="5">
        <v>46219</v>
      </c>
      <c r="AA505" s="3"/>
      <c r="AB505" s="3"/>
      <c r="AD505" s="133" t="str">
        <f t="shared" si="93"/>
        <v>Closed In July</v>
      </c>
    </row>
    <row r="506" spans="1:30" hidden="1">
      <c r="A506" s="9">
        <v>46134</v>
      </c>
      <c r="B506" s="1">
        <v>2026</v>
      </c>
      <c r="C506" s="8" t="s">
        <v>26</v>
      </c>
      <c r="D506" s="11" t="s">
        <v>179</v>
      </c>
      <c r="E506" s="1"/>
      <c r="F506" s="1" t="s">
        <v>19</v>
      </c>
      <c r="G506" s="8" t="s">
        <v>180</v>
      </c>
      <c r="H506" s="8">
        <v>8248438488</v>
      </c>
      <c r="I506" s="10" t="s">
        <v>30</v>
      </c>
      <c r="J506" s="8" t="s">
        <v>181</v>
      </c>
      <c r="K506" s="8" t="s">
        <v>27</v>
      </c>
      <c r="L506" s="8" t="s">
        <v>28</v>
      </c>
      <c r="M506" s="2" t="s">
        <v>588</v>
      </c>
      <c r="N506" s="6" t="s">
        <v>138</v>
      </c>
      <c r="O506" s="11">
        <v>550</v>
      </c>
      <c r="P506" s="2" t="s">
        <v>717</v>
      </c>
      <c r="Q506" s="12" t="str">
        <f t="shared" si="100"/>
        <v>23</v>
      </c>
      <c r="R506" s="12" t="str">
        <f t="shared" si="101"/>
        <v>05</v>
      </c>
      <c r="S506" s="6" t="s">
        <v>129</v>
      </c>
      <c r="T506" s="1" t="s">
        <v>130</v>
      </c>
      <c r="U506" s="6" t="s">
        <v>142</v>
      </c>
      <c r="V506" s="1" t="s">
        <v>143</v>
      </c>
      <c r="W506" s="1" t="s">
        <v>133</v>
      </c>
      <c r="X506" s="5">
        <v>46219</v>
      </c>
      <c r="Y506" s="1">
        <f t="shared" si="102"/>
        <v>85</v>
      </c>
      <c r="Z506" s="5">
        <v>46219</v>
      </c>
      <c r="AA506" s="3"/>
      <c r="AB506" s="3"/>
      <c r="AD506" s="133" t="str">
        <f t="shared" si="93"/>
        <v>Closed In July</v>
      </c>
    </row>
    <row r="507" spans="1:30" hidden="1">
      <c r="A507" s="9">
        <v>46134</v>
      </c>
      <c r="B507" s="1">
        <v>2026</v>
      </c>
      <c r="C507" s="8" t="s">
        <v>26</v>
      </c>
      <c r="D507" s="11" t="s">
        <v>179</v>
      </c>
      <c r="E507" s="1"/>
      <c r="F507" s="1" t="s">
        <v>19</v>
      </c>
      <c r="G507" s="8" t="s">
        <v>180</v>
      </c>
      <c r="H507" s="8">
        <v>8248438488</v>
      </c>
      <c r="I507" s="10" t="s">
        <v>30</v>
      </c>
      <c r="J507" s="8" t="s">
        <v>181</v>
      </c>
      <c r="K507" s="8" t="s">
        <v>27</v>
      </c>
      <c r="L507" s="8" t="s">
        <v>28</v>
      </c>
      <c r="M507" s="2" t="s">
        <v>146</v>
      </c>
      <c r="N507" s="6" t="s">
        <v>138</v>
      </c>
      <c r="O507" s="11">
        <v>550</v>
      </c>
      <c r="P507" s="2" t="s">
        <v>718</v>
      </c>
      <c r="Q507" s="12" t="str">
        <f t="shared" si="100"/>
        <v>23</v>
      </c>
      <c r="R507" s="12" t="str">
        <f t="shared" si="101"/>
        <v>05</v>
      </c>
      <c r="S507" s="6" t="s">
        <v>129</v>
      </c>
      <c r="T507" s="1" t="s">
        <v>130</v>
      </c>
      <c r="U507" s="6" t="s">
        <v>148</v>
      </c>
      <c r="V507" s="1" t="s">
        <v>143</v>
      </c>
      <c r="W507" s="1" t="s">
        <v>133</v>
      </c>
      <c r="X507" s="5">
        <v>46219</v>
      </c>
      <c r="Y507" s="1">
        <f t="shared" si="102"/>
        <v>85</v>
      </c>
      <c r="Z507" s="5">
        <v>46219</v>
      </c>
      <c r="AA507" s="3"/>
      <c r="AB507" s="3"/>
      <c r="AD507" s="133" t="str">
        <f t="shared" si="93"/>
        <v>Closed In July</v>
      </c>
    </row>
    <row r="508" spans="1:30" hidden="1">
      <c r="A508" s="9">
        <v>46134</v>
      </c>
      <c r="B508" s="1">
        <v>2026</v>
      </c>
      <c r="C508" s="8" t="s">
        <v>26</v>
      </c>
      <c r="D508" s="11" t="s">
        <v>179</v>
      </c>
      <c r="E508" s="1"/>
      <c r="F508" s="1" t="s">
        <v>19</v>
      </c>
      <c r="G508" s="8" t="s">
        <v>180</v>
      </c>
      <c r="H508" s="8">
        <v>8248438488</v>
      </c>
      <c r="I508" s="10" t="s">
        <v>30</v>
      </c>
      <c r="J508" s="8" t="s">
        <v>181</v>
      </c>
      <c r="K508" s="8" t="s">
        <v>27</v>
      </c>
      <c r="L508" s="8" t="s">
        <v>28</v>
      </c>
      <c r="M508" s="2" t="s">
        <v>146</v>
      </c>
      <c r="N508" s="6" t="s">
        <v>138</v>
      </c>
      <c r="O508" s="11">
        <v>550</v>
      </c>
      <c r="P508" s="2" t="s">
        <v>719</v>
      </c>
      <c r="Q508" s="12" t="str">
        <f t="shared" si="100"/>
        <v>23</v>
      </c>
      <c r="R508" s="12" t="str">
        <f t="shared" si="101"/>
        <v>05</v>
      </c>
      <c r="S508" s="6" t="s">
        <v>129</v>
      </c>
      <c r="T508" s="1" t="s">
        <v>130</v>
      </c>
      <c r="U508" s="6" t="s">
        <v>148</v>
      </c>
      <c r="V508" s="1" t="s">
        <v>143</v>
      </c>
      <c r="W508" s="1" t="s">
        <v>133</v>
      </c>
      <c r="X508" s="5">
        <v>46219</v>
      </c>
      <c r="Y508" s="1">
        <f t="shared" ref="Y508" si="103">X508-A508</f>
        <v>85</v>
      </c>
      <c r="Z508" s="5">
        <v>46219</v>
      </c>
      <c r="AA508" s="3"/>
      <c r="AB508" s="3"/>
      <c r="AD508" s="133" t="str">
        <f t="shared" si="93"/>
        <v>Closed In July</v>
      </c>
    </row>
    <row r="509" spans="1:30" hidden="1">
      <c r="A509" s="9">
        <v>46134</v>
      </c>
      <c r="B509" s="1">
        <v>2026</v>
      </c>
      <c r="C509" s="8" t="s">
        <v>26</v>
      </c>
      <c r="D509" s="11" t="s">
        <v>179</v>
      </c>
      <c r="E509" s="1"/>
      <c r="F509" s="1" t="s">
        <v>19</v>
      </c>
      <c r="G509" s="8" t="s">
        <v>180</v>
      </c>
      <c r="H509" s="8">
        <v>8248438488</v>
      </c>
      <c r="I509" s="10" t="s">
        <v>30</v>
      </c>
      <c r="J509" s="8" t="s">
        <v>181</v>
      </c>
      <c r="K509" s="8" t="s">
        <v>27</v>
      </c>
      <c r="L509" s="8" t="s">
        <v>28</v>
      </c>
      <c r="M509" s="2" t="s">
        <v>588</v>
      </c>
      <c r="N509" s="6" t="s">
        <v>138</v>
      </c>
      <c r="O509" s="11">
        <v>550</v>
      </c>
      <c r="P509" s="2" t="s">
        <v>720</v>
      </c>
      <c r="Q509" s="12" t="str">
        <f t="shared" si="100"/>
        <v>23</v>
      </c>
      <c r="R509" s="12" t="str">
        <f t="shared" si="101"/>
        <v>05</v>
      </c>
      <c r="S509" s="6" t="s">
        <v>129</v>
      </c>
      <c r="T509" s="1" t="s">
        <v>130</v>
      </c>
      <c r="U509" s="6" t="s">
        <v>142</v>
      </c>
      <c r="V509" s="1" t="s">
        <v>143</v>
      </c>
      <c r="W509" s="1" t="s">
        <v>133</v>
      </c>
      <c r="X509" s="5">
        <v>46219</v>
      </c>
      <c r="Y509" s="1">
        <f t="shared" ref="Y509:Y512" si="104">X509-A509</f>
        <v>85</v>
      </c>
      <c r="Z509" s="5">
        <v>46219</v>
      </c>
      <c r="AA509" s="3"/>
      <c r="AB509" s="3"/>
      <c r="AD509" s="133" t="str">
        <f t="shared" si="93"/>
        <v>Closed In July</v>
      </c>
    </row>
    <row r="510" spans="1:30" hidden="1">
      <c r="A510" s="9">
        <v>46134</v>
      </c>
      <c r="B510" s="1">
        <v>2026</v>
      </c>
      <c r="C510" s="8" t="s">
        <v>26</v>
      </c>
      <c r="D510" s="11" t="s">
        <v>179</v>
      </c>
      <c r="E510" s="1"/>
      <c r="F510" s="1" t="s">
        <v>19</v>
      </c>
      <c r="G510" s="8" t="s">
        <v>180</v>
      </c>
      <c r="H510" s="8">
        <v>8248438488</v>
      </c>
      <c r="I510" s="10" t="s">
        <v>30</v>
      </c>
      <c r="J510" s="8" t="s">
        <v>181</v>
      </c>
      <c r="K510" s="8" t="s">
        <v>27</v>
      </c>
      <c r="L510" s="8" t="s">
        <v>28</v>
      </c>
      <c r="M510" s="2" t="s">
        <v>588</v>
      </c>
      <c r="N510" s="6" t="s">
        <v>138</v>
      </c>
      <c r="O510" s="11">
        <v>550</v>
      </c>
      <c r="P510" s="2" t="s">
        <v>721</v>
      </c>
      <c r="Q510" s="12" t="str">
        <f t="shared" si="100"/>
        <v>23</v>
      </c>
      <c r="R510" s="12" t="str">
        <f t="shared" si="101"/>
        <v>05</v>
      </c>
      <c r="S510" s="6" t="s">
        <v>129</v>
      </c>
      <c r="T510" s="1" t="s">
        <v>130</v>
      </c>
      <c r="U510" s="6" t="s">
        <v>142</v>
      </c>
      <c r="V510" s="1" t="s">
        <v>143</v>
      </c>
      <c r="W510" s="1" t="s">
        <v>133</v>
      </c>
      <c r="X510" s="5">
        <v>46219</v>
      </c>
      <c r="Y510" s="1">
        <f t="shared" si="104"/>
        <v>85</v>
      </c>
      <c r="Z510" s="5">
        <v>46219</v>
      </c>
      <c r="AA510" s="3"/>
      <c r="AB510" s="3"/>
      <c r="AD510" s="133" t="str">
        <f t="shared" si="93"/>
        <v>Closed In July</v>
      </c>
    </row>
    <row r="511" spans="1:30" hidden="1">
      <c r="A511" s="9">
        <v>46134</v>
      </c>
      <c r="B511" s="1">
        <v>2026</v>
      </c>
      <c r="C511" s="8" t="s">
        <v>26</v>
      </c>
      <c r="D511" s="11" t="s">
        <v>179</v>
      </c>
      <c r="E511" s="1"/>
      <c r="F511" s="1" t="s">
        <v>19</v>
      </c>
      <c r="G511" s="8" t="s">
        <v>180</v>
      </c>
      <c r="H511" s="8">
        <v>8248438488</v>
      </c>
      <c r="I511" s="10" t="s">
        <v>30</v>
      </c>
      <c r="J511" s="8" t="s">
        <v>181</v>
      </c>
      <c r="K511" s="8" t="s">
        <v>27</v>
      </c>
      <c r="L511" s="8" t="s">
        <v>28</v>
      </c>
      <c r="M511" s="2" t="s">
        <v>146</v>
      </c>
      <c r="N511" s="6" t="s">
        <v>138</v>
      </c>
      <c r="O511" s="11">
        <v>550</v>
      </c>
      <c r="P511" s="2" t="s">
        <v>722</v>
      </c>
      <c r="Q511" s="12" t="str">
        <f t="shared" si="100"/>
        <v>23</v>
      </c>
      <c r="R511" s="12" t="str">
        <f t="shared" si="101"/>
        <v>05</v>
      </c>
      <c r="S511" s="6" t="s">
        <v>129</v>
      </c>
      <c r="T511" s="1" t="s">
        <v>130</v>
      </c>
      <c r="U511" s="6" t="s">
        <v>148</v>
      </c>
      <c r="V511" s="1" t="s">
        <v>143</v>
      </c>
      <c r="W511" s="1" t="s">
        <v>133</v>
      </c>
      <c r="X511" s="5">
        <v>46219</v>
      </c>
      <c r="Y511" s="1">
        <f t="shared" si="104"/>
        <v>85</v>
      </c>
      <c r="Z511" s="5">
        <v>46219</v>
      </c>
      <c r="AA511" s="3"/>
      <c r="AB511" s="3"/>
      <c r="AD511" s="133" t="str">
        <f t="shared" si="93"/>
        <v>Closed In July</v>
      </c>
    </row>
    <row r="512" spans="1:30" hidden="1">
      <c r="A512" s="9">
        <v>46134</v>
      </c>
      <c r="B512" s="1">
        <v>2026</v>
      </c>
      <c r="C512" s="8" t="s">
        <v>26</v>
      </c>
      <c r="D512" s="11" t="s">
        <v>179</v>
      </c>
      <c r="E512" s="1"/>
      <c r="F512" s="1" t="s">
        <v>19</v>
      </c>
      <c r="G512" s="8" t="s">
        <v>180</v>
      </c>
      <c r="H512" s="8">
        <v>8248438488</v>
      </c>
      <c r="I512" s="10" t="s">
        <v>30</v>
      </c>
      <c r="J512" s="8" t="s">
        <v>181</v>
      </c>
      <c r="K512" s="8" t="s">
        <v>27</v>
      </c>
      <c r="L512" s="8" t="s">
        <v>28</v>
      </c>
      <c r="M512" s="2" t="s">
        <v>146</v>
      </c>
      <c r="N512" s="6" t="s">
        <v>138</v>
      </c>
      <c r="O512" s="11">
        <v>550</v>
      </c>
      <c r="P512" s="2" t="s">
        <v>723</v>
      </c>
      <c r="Q512" s="12" t="str">
        <f t="shared" si="100"/>
        <v>23</v>
      </c>
      <c r="R512" s="12" t="str">
        <f t="shared" si="101"/>
        <v>05</v>
      </c>
      <c r="S512" s="6" t="s">
        <v>129</v>
      </c>
      <c r="T512" s="1" t="s">
        <v>130</v>
      </c>
      <c r="U512" s="6" t="s">
        <v>148</v>
      </c>
      <c r="V512" s="1" t="s">
        <v>143</v>
      </c>
      <c r="W512" s="1" t="s">
        <v>133</v>
      </c>
      <c r="X512" s="5">
        <v>46219</v>
      </c>
      <c r="Y512" s="1">
        <f t="shared" si="104"/>
        <v>85</v>
      </c>
      <c r="Z512" s="5">
        <v>46219</v>
      </c>
      <c r="AA512" s="3"/>
      <c r="AB512" s="3"/>
      <c r="AD512" s="133" t="str">
        <f t="shared" si="93"/>
        <v>Closed In July</v>
      </c>
    </row>
    <row r="513" spans="1:30" hidden="1">
      <c r="A513" s="9">
        <v>46134</v>
      </c>
      <c r="B513" s="1">
        <v>2026</v>
      </c>
      <c r="C513" s="8" t="s">
        <v>26</v>
      </c>
      <c r="D513" s="11" t="s">
        <v>179</v>
      </c>
      <c r="E513" s="1"/>
      <c r="F513" s="1" t="s">
        <v>19</v>
      </c>
      <c r="G513" s="8" t="s">
        <v>180</v>
      </c>
      <c r="H513" s="8">
        <v>8248438488</v>
      </c>
      <c r="I513" s="10" t="s">
        <v>30</v>
      </c>
      <c r="J513" s="8" t="s">
        <v>181</v>
      </c>
      <c r="K513" s="8" t="s">
        <v>27</v>
      </c>
      <c r="L513" s="8" t="s">
        <v>28</v>
      </c>
      <c r="M513" s="2" t="s">
        <v>126</v>
      </c>
      <c r="N513" s="1" t="s">
        <v>127</v>
      </c>
      <c r="O513" s="11">
        <v>550</v>
      </c>
      <c r="P513" s="2" t="s">
        <v>724</v>
      </c>
      <c r="Q513" s="12" t="str">
        <f t="shared" si="100"/>
        <v>23</v>
      </c>
      <c r="R513" s="12" t="str">
        <f t="shared" si="101"/>
        <v>05</v>
      </c>
      <c r="S513" s="6" t="s">
        <v>129</v>
      </c>
      <c r="T513" s="1" t="s">
        <v>130</v>
      </c>
      <c r="U513" s="6" t="s">
        <v>145</v>
      </c>
      <c r="V513" s="6" t="s">
        <v>132</v>
      </c>
      <c r="W513" s="1" t="s">
        <v>133</v>
      </c>
      <c r="X513" s="5">
        <v>46219</v>
      </c>
      <c r="Y513" s="1">
        <f t="shared" ref="Y513" si="105">X513-A513</f>
        <v>85</v>
      </c>
      <c r="Z513" s="5">
        <v>46218</v>
      </c>
      <c r="AA513" s="15"/>
      <c r="AB513" s="15"/>
      <c r="AD513" s="133" t="str">
        <f t="shared" si="93"/>
        <v>Closed In July</v>
      </c>
    </row>
    <row r="514" spans="1:30" hidden="1">
      <c r="A514" s="9">
        <v>46134</v>
      </c>
      <c r="B514" s="1">
        <v>2026</v>
      </c>
      <c r="C514" s="8" t="s">
        <v>26</v>
      </c>
      <c r="D514" s="11" t="s">
        <v>179</v>
      </c>
      <c r="E514" s="1"/>
      <c r="F514" s="1" t="s">
        <v>19</v>
      </c>
      <c r="G514" s="8" t="s">
        <v>180</v>
      </c>
      <c r="H514" s="8">
        <v>8248438488</v>
      </c>
      <c r="I514" s="10" t="s">
        <v>30</v>
      </c>
      <c r="J514" s="8" t="s">
        <v>181</v>
      </c>
      <c r="K514" s="8" t="s">
        <v>27</v>
      </c>
      <c r="L514" s="8" t="s">
        <v>28</v>
      </c>
      <c r="M514" s="2" t="s">
        <v>588</v>
      </c>
      <c r="N514" s="6" t="s">
        <v>138</v>
      </c>
      <c r="O514" s="11">
        <v>550</v>
      </c>
      <c r="P514" s="2" t="s">
        <v>725</v>
      </c>
      <c r="Q514" s="12" t="str">
        <f t="shared" si="100"/>
        <v>23</v>
      </c>
      <c r="R514" s="12" t="str">
        <f t="shared" si="101"/>
        <v>05</v>
      </c>
      <c r="S514" s="6" t="s">
        <v>129</v>
      </c>
      <c r="T514" s="1" t="s">
        <v>130</v>
      </c>
      <c r="U514" s="6" t="s">
        <v>142</v>
      </c>
      <c r="V514" s="1" t="s">
        <v>143</v>
      </c>
      <c r="W514" s="1" t="s">
        <v>133</v>
      </c>
      <c r="X514" s="5">
        <v>46219</v>
      </c>
      <c r="Y514" s="1">
        <f t="shared" ref="Y514:Y520" si="106">X514-A514</f>
        <v>85</v>
      </c>
      <c r="Z514" s="5">
        <v>46219</v>
      </c>
      <c r="AA514" s="3"/>
      <c r="AB514" s="3"/>
      <c r="AD514" s="133" t="str">
        <f t="shared" si="93"/>
        <v>Closed In July</v>
      </c>
    </row>
    <row r="515" spans="1:30" hidden="1">
      <c r="A515" s="9">
        <v>46134</v>
      </c>
      <c r="B515" s="1">
        <v>2026</v>
      </c>
      <c r="C515" s="8" t="s">
        <v>26</v>
      </c>
      <c r="D515" s="11" t="s">
        <v>179</v>
      </c>
      <c r="E515" s="1"/>
      <c r="F515" s="1" t="s">
        <v>19</v>
      </c>
      <c r="G515" s="8" t="s">
        <v>180</v>
      </c>
      <c r="H515" s="8">
        <v>8248438488</v>
      </c>
      <c r="I515" s="10" t="s">
        <v>30</v>
      </c>
      <c r="J515" s="8" t="s">
        <v>181</v>
      </c>
      <c r="K515" s="8" t="s">
        <v>27</v>
      </c>
      <c r="L515" s="8" t="s">
        <v>28</v>
      </c>
      <c r="M515" s="2" t="s">
        <v>588</v>
      </c>
      <c r="N515" s="6" t="s">
        <v>138</v>
      </c>
      <c r="O515" s="11">
        <v>550</v>
      </c>
      <c r="P515" s="2" t="s">
        <v>726</v>
      </c>
      <c r="Q515" s="12" t="str">
        <f t="shared" si="100"/>
        <v>23</v>
      </c>
      <c r="R515" s="12" t="str">
        <f t="shared" si="101"/>
        <v>05</v>
      </c>
      <c r="S515" s="6" t="s">
        <v>129</v>
      </c>
      <c r="T515" s="1" t="s">
        <v>130</v>
      </c>
      <c r="U515" s="6" t="s">
        <v>142</v>
      </c>
      <c r="V515" s="1" t="s">
        <v>143</v>
      </c>
      <c r="W515" s="1" t="s">
        <v>133</v>
      </c>
      <c r="X515" s="5">
        <v>46219</v>
      </c>
      <c r="Y515" s="1">
        <f t="shared" si="106"/>
        <v>85</v>
      </c>
      <c r="Z515" s="5">
        <v>46219</v>
      </c>
      <c r="AA515" s="3"/>
      <c r="AB515" s="3"/>
      <c r="AD515" s="133" t="str">
        <f t="shared" ref="AD515:AD578" si="107">IF(AND(F515="Closed",X515&gt;=DATE(2026,7,1),X515&lt;=DATE(2026,7,31)),"Closed In July","Other")</f>
        <v>Closed In July</v>
      </c>
    </row>
    <row r="516" spans="1:30" hidden="1">
      <c r="A516" s="9">
        <v>46134</v>
      </c>
      <c r="B516" s="1">
        <v>2026</v>
      </c>
      <c r="C516" s="8" t="s">
        <v>26</v>
      </c>
      <c r="D516" s="11" t="s">
        <v>179</v>
      </c>
      <c r="E516" s="1"/>
      <c r="F516" s="1" t="s">
        <v>19</v>
      </c>
      <c r="G516" s="8" t="s">
        <v>180</v>
      </c>
      <c r="H516" s="8">
        <v>8248438488</v>
      </c>
      <c r="I516" s="10" t="s">
        <v>30</v>
      </c>
      <c r="J516" s="8" t="s">
        <v>181</v>
      </c>
      <c r="K516" s="8" t="s">
        <v>27</v>
      </c>
      <c r="L516" s="8" t="s">
        <v>28</v>
      </c>
      <c r="M516" s="2" t="s">
        <v>588</v>
      </c>
      <c r="N516" s="6" t="s">
        <v>138</v>
      </c>
      <c r="O516" s="11">
        <v>550</v>
      </c>
      <c r="P516" s="2" t="s">
        <v>727</v>
      </c>
      <c r="Q516" s="12" t="str">
        <f t="shared" si="100"/>
        <v>23</v>
      </c>
      <c r="R516" s="12" t="str">
        <f t="shared" si="101"/>
        <v>06</v>
      </c>
      <c r="S516" s="6" t="s">
        <v>129</v>
      </c>
      <c r="T516" s="1" t="s">
        <v>130</v>
      </c>
      <c r="U516" s="6" t="s">
        <v>142</v>
      </c>
      <c r="V516" s="1" t="s">
        <v>143</v>
      </c>
      <c r="W516" s="1" t="s">
        <v>133</v>
      </c>
      <c r="X516" s="5">
        <v>46219</v>
      </c>
      <c r="Y516" s="1">
        <f t="shared" si="106"/>
        <v>85</v>
      </c>
      <c r="Z516" s="5">
        <v>46219</v>
      </c>
      <c r="AA516" s="3"/>
      <c r="AB516" s="3"/>
      <c r="AD516" s="133" t="str">
        <f t="shared" si="107"/>
        <v>Closed In July</v>
      </c>
    </row>
    <row r="517" spans="1:30" hidden="1">
      <c r="A517" s="9">
        <v>46134</v>
      </c>
      <c r="B517" s="1">
        <v>2026</v>
      </c>
      <c r="C517" s="8" t="s">
        <v>26</v>
      </c>
      <c r="D517" s="11" t="s">
        <v>179</v>
      </c>
      <c r="E517" s="1"/>
      <c r="F517" s="1" t="s">
        <v>19</v>
      </c>
      <c r="G517" s="8" t="s">
        <v>180</v>
      </c>
      <c r="H517" s="8">
        <v>8248438488</v>
      </c>
      <c r="I517" s="10" t="s">
        <v>30</v>
      </c>
      <c r="J517" s="8" t="s">
        <v>181</v>
      </c>
      <c r="K517" s="8" t="s">
        <v>27</v>
      </c>
      <c r="L517" s="8" t="s">
        <v>28</v>
      </c>
      <c r="M517" s="2" t="s">
        <v>146</v>
      </c>
      <c r="N517" s="6" t="s">
        <v>138</v>
      </c>
      <c r="O517" s="11">
        <v>550</v>
      </c>
      <c r="P517" s="2" t="s">
        <v>728</v>
      </c>
      <c r="Q517" s="12" t="str">
        <f t="shared" si="100"/>
        <v>23</v>
      </c>
      <c r="R517" s="12" t="str">
        <f t="shared" si="101"/>
        <v>06</v>
      </c>
      <c r="S517" s="6" t="s">
        <v>129</v>
      </c>
      <c r="T517" s="1" t="s">
        <v>130</v>
      </c>
      <c r="U517" s="6" t="s">
        <v>148</v>
      </c>
      <c r="V517" s="1" t="s">
        <v>143</v>
      </c>
      <c r="W517" s="1" t="s">
        <v>133</v>
      </c>
      <c r="X517" s="5">
        <v>46219</v>
      </c>
      <c r="Y517" s="1">
        <f t="shared" si="106"/>
        <v>85</v>
      </c>
      <c r="Z517" s="5">
        <v>46219</v>
      </c>
      <c r="AA517" s="3"/>
      <c r="AB517" s="3"/>
      <c r="AD517" s="133" t="str">
        <f t="shared" si="107"/>
        <v>Closed In July</v>
      </c>
    </row>
    <row r="518" spans="1:30" hidden="1">
      <c r="A518" s="9">
        <v>46134</v>
      </c>
      <c r="B518" s="1">
        <v>2026</v>
      </c>
      <c r="C518" s="8" t="s">
        <v>26</v>
      </c>
      <c r="D518" s="11" t="s">
        <v>179</v>
      </c>
      <c r="E518" s="1"/>
      <c r="F518" s="1" t="s">
        <v>19</v>
      </c>
      <c r="G518" s="8" t="s">
        <v>180</v>
      </c>
      <c r="H518" s="8">
        <v>8248438488</v>
      </c>
      <c r="I518" s="10" t="s">
        <v>30</v>
      </c>
      <c r="J518" s="8" t="s">
        <v>181</v>
      </c>
      <c r="K518" s="8" t="s">
        <v>27</v>
      </c>
      <c r="L518" s="8" t="s">
        <v>28</v>
      </c>
      <c r="M518" s="2" t="s">
        <v>146</v>
      </c>
      <c r="N518" s="6" t="s">
        <v>138</v>
      </c>
      <c r="O518" s="11">
        <v>550</v>
      </c>
      <c r="P518" s="2" t="s">
        <v>729</v>
      </c>
      <c r="Q518" s="12" t="str">
        <f t="shared" si="100"/>
        <v>23</v>
      </c>
      <c r="R518" s="12" t="str">
        <f t="shared" si="101"/>
        <v>06</v>
      </c>
      <c r="S518" s="6" t="s">
        <v>129</v>
      </c>
      <c r="T518" s="1" t="s">
        <v>130</v>
      </c>
      <c r="U518" s="6" t="s">
        <v>148</v>
      </c>
      <c r="V518" s="1" t="s">
        <v>143</v>
      </c>
      <c r="W518" s="1" t="s">
        <v>133</v>
      </c>
      <c r="X518" s="5">
        <v>46219</v>
      </c>
      <c r="Y518" s="1">
        <f t="shared" si="106"/>
        <v>85</v>
      </c>
      <c r="Z518" s="5">
        <v>46219</v>
      </c>
      <c r="AA518" s="3"/>
      <c r="AB518" s="3"/>
      <c r="AD518" s="133" t="str">
        <f t="shared" si="107"/>
        <v>Closed In July</v>
      </c>
    </row>
    <row r="519" spans="1:30" hidden="1">
      <c r="A519" s="9">
        <v>46134</v>
      </c>
      <c r="B519" s="1">
        <v>2026</v>
      </c>
      <c r="C519" s="8" t="s">
        <v>26</v>
      </c>
      <c r="D519" s="11" t="s">
        <v>179</v>
      </c>
      <c r="E519" s="1"/>
      <c r="F519" s="1" t="s">
        <v>19</v>
      </c>
      <c r="G519" s="8" t="s">
        <v>180</v>
      </c>
      <c r="H519" s="8">
        <v>8248438488</v>
      </c>
      <c r="I519" s="10" t="s">
        <v>30</v>
      </c>
      <c r="J519" s="8" t="s">
        <v>181</v>
      </c>
      <c r="K519" s="8" t="s">
        <v>27</v>
      </c>
      <c r="L519" s="8" t="s">
        <v>28</v>
      </c>
      <c r="M519" s="2" t="s">
        <v>146</v>
      </c>
      <c r="N519" s="6" t="s">
        <v>138</v>
      </c>
      <c r="O519" s="11">
        <v>550</v>
      </c>
      <c r="P519" s="2" t="s">
        <v>730</v>
      </c>
      <c r="Q519" s="12" t="str">
        <f t="shared" si="100"/>
        <v>23</v>
      </c>
      <c r="R519" s="12" t="str">
        <f t="shared" si="101"/>
        <v>06</v>
      </c>
      <c r="S519" s="6" t="s">
        <v>129</v>
      </c>
      <c r="T519" s="1" t="s">
        <v>130</v>
      </c>
      <c r="U519" s="6" t="s">
        <v>148</v>
      </c>
      <c r="V519" s="1" t="s">
        <v>143</v>
      </c>
      <c r="W519" s="1" t="s">
        <v>133</v>
      </c>
      <c r="X519" s="5">
        <v>46219</v>
      </c>
      <c r="Y519" s="1">
        <f t="shared" si="106"/>
        <v>85</v>
      </c>
      <c r="Z519" s="5">
        <v>46219</v>
      </c>
      <c r="AA519" s="3"/>
      <c r="AB519" s="3"/>
      <c r="AD519" s="133" t="str">
        <f t="shared" si="107"/>
        <v>Closed In July</v>
      </c>
    </row>
    <row r="520" spans="1:30" hidden="1">
      <c r="A520" s="9">
        <v>46134</v>
      </c>
      <c r="B520" s="1">
        <v>2026</v>
      </c>
      <c r="C520" s="8" t="s">
        <v>26</v>
      </c>
      <c r="D520" s="11" t="s">
        <v>179</v>
      </c>
      <c r="E520" s="1"/>
      <c r="F520" s="1" t="s">
        <v>19</v>
      </c>
      <c r="G520" s="8" t="s">
        <v>180</v>
      </c>
      <c r="H520" s="8">
        <v>8248438488</v>
      </c>
      <c r="I520" s="10" t="s">
        <v>30</v>
      </c>
      <c r="J520" s="8" t="s">
        <v>181</v>
      </c>
      <c r="K520" s="8" t="s">
        <v>27</v>
      </c>
      <c r="L520" s="8" t="s">
        <v>28</v>
      </c>
      <c r="M520" s="2" t="s">
        <v>152</v>
      </c>
      <c r="N520" s="6" t="s">
        <v>138</v>
      </c>
      <c r="O520" s="11">
        <v>550</v>
      </c>
      <c r="P520" s="2" t="s">
        <v>731</v>
      </c>
      <c r="Q520" s="12" t="str">
        <f t="shared" si="100"/>
        <v>23</v>
      </c>
      <c r="R520" s="12" t="str">
        <f t="shared" si="101"/>
        <v>05</v>
      </c>
      <c r="S520" s="6" t="s">
        <v>129</v>
      </c>
      <c r="T520" s="1" t="s">
        <v>130</v>
      </c>
      <c r="U520" s="6" t="s">
        <v>154</v>
      </c>
      <c r="V520" s="1" t="s">
        <v>143</v>
      </c>
      <c r="W520" s="1" t="s">
        <v>133</v>
      </c>
      <c r="X520" s="5">
        <v>46219</v>
      </c>
      <c r="Y520" s="1">
        <f t="shared" si="106"/>
        <v>85</v>
      </c>
      <c r="Z520" s="5">
        <v>46219</v>
      </c>
      <c r="AA520" s="3"/>
      <c r="AB520" s="3"/>
      <c r="AD520" s="133" t="str">
        <f t="shared" si="107"/>
        <v>Closed In July</v>
      </c>
    </row>
    <row r="521" spans="1:30" hidden="1">
      <c r="A521" s="9">
        <v>46134</v>
      </c>
      <c r="B521" s="1">
        <v>2026</v>
      </c>
      <c r="C521" s="8" t="s">
        <v>26</v>
      </c>
      <c r="D521" s="11" t="s">
        <v>179</v>
      </c>
      <c r="E521" s="1"/>
      <c r="F521" s="1" t="s">
        <v>19</v>
      </c>
      <c r="G521" s="8" t="s">
        <v>180</v>
      </c>
      <c r="H521" s="8">
        <v>8248438488</v>
      </c>
      <c r="I521" s="10" t="s">
        <v>30</v>
      </c>
      <c r="J521" s="8" t="s">
        <v>181</v>
      </c>
      <c r="K521" s="8" t="s">
        <v>27</v>
      </c>
      <c r="L521" s="8" t="s">
        <v>28</v>
      </c>
      <c r="M521" s="2" t="s">
        <v>588</v>
      </c>
      <c r="N521" s="6" t="s">
        <v>138</v>
      </c>
      <c r="O521" s="11">
        <v>550</v>
      </c>
      <c r="P521" s="2" t="s">
        <v>732</v>
      </c>
      <c r="Q521" s="12" t="str">
        <f t="shared" si="100"/>
        <v>23</v>
      </c>
      <c r="R521" s="12" t="str">
        <f t="shared" si="101"/>
        <v>06</v>
      </c>
      <c r="S521" s="6" t="s">
        <v>129</v>
      </c>
      <c r="T521" s="1" t="s">
        <v>130</v>
      </c>
      <c r="U521" s="6" t="s">
        <v>142</v>
      </c>
      <c r="V521" s="1" t="s">
        <v>143</v>
      </c>
      <c r="W521" s="1" t="s">
        <v>133</v>
      </c>
      <c r="X521" s="5">
        <v>46219</v>
      </c>
      <c r="Y521" s="1">
        <f t="shared" ref="Y521:Y522" si="108">X521-A521</f>
        <v>85</v>
      </c>
      <c r="Z521" s="5">
        <v>46219</v>
      </c>
      <c r="AA521" s="3"/>
      <c r="AB521" s="3"/>
      <c r="AD521" s="133" t="str">
        <f t="shared" si="107"/>
        <v>Closed In July</v>
      </c>
    </row>
    <row r="522" spans="1:30" hidden="1">
      <c r="A522" s="9">
        <v>46134</v>
      </c>
      <c r="B522" s="1">
        <v>2026</v>
      </c>
      <c r="C522" s="8" t="s">
        <v>26</v>
      </c>
      <c r="D522" s="11" t="s">
        <v>179</v>
      </c>
      <c r="E522" s="1"/>
      <c r="F522" s="1" t="s">
        <v>19</v>
      </c>
      <c r="G522" s="8" t="s">
        <v>180</v>
      </c>
      <c r="H522" s="8">
        <v>8248438488</v>
      </c>
      <c r="I522" s="10" t="s">
        <v>30</v>
      </c>
      <c r="J522" s="8" t="s">
        <v>181</v>
      </c>
      <c r="K522" s="8" t="s">
        <v>27</v>
      </c>
      <c r="L522" s="8" t="s">
        <v>28</v>
      </c>
      <c r="M522" s="2" t="s">
        <v>146</v>
      </c>
      <c r="N522" s="6" t="s">
        <v>138</v>
      </c>
      <c r="O522" s="11">
        <v>550</v>
      </c>
      <c r="P522" s="2" t="s">
        <v>733</v>
      </c>
      <c r="Q522" s="12" t="str">
        <f t="shared" si="100"/>
        <v>23</v>
      </c>
      <c r="R522" s="12" t="str">
        <f t="shared" si="101"/>
        <v>05</v>
      </c>
      <c r="S522" s="6" t="s">
        <v>129</v>
      </c>
      <c r="T522" s="1" t="s">
        <v>130</v>
      </c>
      <c r="U522" s="6" t="s">
        <v>148</v>
      </c>
      <c r="V522" s="1" t="s">
        <v>143</v>
      </c>
      <c r="W522" s="1" t="s">
        <v>133</v>
      </c>
      <c r="X522" s="5">
        <v>46219</v>
      </c>
      <c r="Y522" s="1">
        <f t="shared" si="108"/>
        <v>85</v>
      </c>
      <c r="Z522" s="5">
        <v>46219</v>
      </c>
      <c r="AA522" s="3"/>
      <c r="AB522" s="3"/>
      <c r="AD522" s="133" t="str">
        <f t="shared" si="107"/>
        <v>Closed In July</v>
      </c>
    </row>
    <row r="523" spans="1:30" hidden="1">
      <c r="A523" s="9">
        <v>46134</v>
      </c>
      <c r="B523" s="1">
        <v>2026</v>
      </c>
      <c r="C523" s="8" t="s">
        <v>26</v>
      </c>
      <c r="D523" s="11" t="s">
        <v>179</v>
      </c>
      <c r="E523" s="1"/>
      <c r="F523" s="1" t="s">
        <v>19</v>
      </c>
      <c r="G523" s="8" t="s">
        <v>180</v>
      </c>
      <c r="H523" s="8">
        <v>8248438488</v>
      </c>
      <c r="I523" s="10" t="s">
        <v>30</v>
      </c>
      <c r="J523" s="8" t="s">
        <v>181</v>
      </c>
      <c r="K523" s="8" t="s">
        <v>27</v>
      </c>
      <c r="L523" s="8" t="s">
        <v>28</v>
      </c>
      <c r="M523" s="2" t="s">
        <v>588</v>
      </c>
      <c r="N523" s="6" t="s">
        <v>138</v>
      </c>
      <c r="O523" s="11">
        <v>550</v>
      </c>
      <c r="P523" s="2" t="s">
        <v>734</v>
      </c>
      <c r="Q523" s="12" t="str">
        <f t="shared" si="100"/>
        <v>23</v>
      </c>
      <c r="R523" s="12" t="str">
        <f t="shared" si="101"/>
        <v>05</v>
      </c>
      <c r="S523" s="6" t="s">
        <v>129</v>
      </c>
      <c r="T523" s="1" t="s">
        <v>130</v>
      </c>
      <c r="U523" s="6" t="s">
        <v>142</v>
      </c>
      <c r="V523" s="1" t="s">
        <v>143</v>
      </c>
      <c r="W523" s="1" t="s">
        <v>133</v>
      </c>
      <c r="X523" s="5">
        <v>46219</v>
      </c>
      <c r="Y523" s="1">
        <f t="shared" ref="Y523:Y526" si="109">X523-A523</f>
        <v>85</v>
      </c>
      <c r="Z523" s="5">
        <v>46219</v>
      </c>
      <c r="AA523" s="3"/>
      <c r="AB523" s="3"/>
      <c r="AD523" s="133" t="str">
        <f t="shared" si="107"/>
        <v>Closed In July</v>
      </c>
    </row>
    <row r="524" spans="1:30" hidden="1">
      <c r="A524" s="9">
        <v>46134</v>
      </c>
      <c r="B524" s="1">
        <v>2026</v>
      </c>
      <c r="C524" s="8" t="s">
        <v>26</v>
      </c>
      <c r="D524" s="11" t="s">
        <v>179</v>
      </c>
      <c r="E524" s="1"/>
      <c r="F524" s="1" t="s">
        <v>19</v>
      </c>
      <c r="G524" s="8" t="s">
        <v>180</v>
      </c>
      <c r="H524" s="8">
        <v>8248438488</v>
      </c>
      <c r="I524" s="10" t="s">
        <v>30</v>
      </c>
      <c r="J524" s="8" t="s">
        <v>181</v>
      </c>
      <c r="K524" s="8" t="s">
        <v>27</v>
      </c>
      <c r="L524" s="8" t="s">
        <v>28</v>
      </c>
      <c r="M524" s="2" t="s">
        <v>146</v>
      </c>
      <c r="N524" s="6" t="s">
        <v>138</v>
      </c>
      <c r="O524" s="11">
        <v>550</v>
      </c>
      <c r="P524" s="2" t="s">
        <v>735</v>
      </c>
      <c r="Q524" s="12" t="str">
        <f t="shared" si="100"/>
        <v>23</v>
      </c>
      <c r="R524" s="12" t="str">
        <f t="shared" si="101"/>
        <v>05</v>
      </c>
      <c r="S524" s="6" t="s">
        <v>129</v>
      </c>
      <c r="T524" s="1" t="s">
        <v>130</v>
      </c>
      <c r="U524" s="6" t="s">
        <v>148</v>
      </c>
      <c r="V524" s="1" t="s">
        <v>143</v>
      </c>
      <c r="W524" s="1" t="s">
        <v>133</v>
      </c>
      <c r="X524" s="5">
        <v>46219</v>
      </c>
      <c r="Y524" s="1">
        <f t="shared" si="109"/>
        <v>85</v>
      </c>
      <c r="Z524" s="5">
        <v>46219</v>
      </c>
      <c r="AA524" s="3"/>
      <c r="AB524" s="3"/>
      <c r="AD524" s="133" t="str">
        <f t="shared" si="107"/>
        <v>Closed In July</v>
      </c>
    </row>
    <row r="525" spans="1:30" hidden="1">
      <c r="A525" s="9">
        <v>46134</v>
      </c>
      <c r="B525" s="1">
        <v>2026</v>
      </c>
      <c r="C525" s="8" t="s">
        <v>26</v>
      </c>
      <c r="D525" s="11" t="s">
        <v>179</v>
      </c>
      <c r="E525" s="1"/>
      <c r="F525" s="1" t="s">
        <v>19</v>
      </c>
      <c r="G525" s="8" t="s">
        <v>180</v>
      </c>
      <c r="H525" s="8">
        <v>8248438488</v>
      </c>
      <c r="I525" s="10" t="s">
        <v>30</v>
      </c>
      <c r="J525" s="8" t="s">
        <v>181</v>
      </c>
      <c r="K525" s="8" t="s">
        <v>27</v>
      </c>
      <c r="L525" s="8" t="s">
        <v>28</v>
      </c>
      <c r="M525" s="2" t="s">
        <v>146</v>
      </c>
      <c r="N525" s="6" t="s">
        <v>138</v>
      </c>
      <c r="O525" s="11">
        <v>550</v>
      </c>
      <c r="P525" s="2" t="s">
        <v>736</v>
      </c>
      <c r="Q525" s="12" t="str">
        <f t="shared" si="100"/>
        <v>23</v>
      </c>
      <c r="R525" s="12" t="str">
        <f t="shared" si="101"/>
        <v>05</v>
      </c>
      <c r="S525" s="6" t="s">
        <v>129</v>
      </c>
      <c r="T525" s="1" t="s">
        <v>130</v>
      </c>
      <c r="U525" s="6" t="s">
        <v>148</v>
      </c>
      <c r="V525" s="1" t="s">
        <v>143</v>
      </c>
      <c r="W525" s="1" t="s">
        <v>133</v>
      </c>
      <c r="X525" s="5">
        <v>46219</v>
      </c>
      <c r="Y525" s="1">
        <f t="shared" si="109"/>
        <v>85</v>
      </c>
      <c r="Z525" s="5">
        <v>46219</v>
      </c>
      <c r="AA525" s="3"/>
      <c r="AB525" s="3"/>
      <c r="AD525" s="133" t="str">
        <f t="shared" si="107"/>
        <v>Closed In July</v>
      </c>
    </row>
    <row r="526" spans="1:30" hidden="1">
      <c r="A526" s="9">
        <v>46134</v>
      </c>
      <c r="B526" s="1">
        <v>2026</v>
      </c>
      <c r="C526" s="8" t="s">
        <v>26</v>
      </c>
      <c r="D526" s="11" t="s">
        <v>179</v>
      </c>
      <c r="E526" s="1"/>
      <c r="F526" s="1" t="s">
        <v>19</v>
      </c>
      <c r="G526" s="8" t="s">
        <v>180</v>
      </c>
      <c r="H526" s="8">
        <v>8248438488</v>
      </c>
      <c r="I526" s="10" t="s">
        <v>30</v>
      </c>
      <c r="J526" s="8" t="s">
        <v>181</v>
      </c>
      <c r="K526" s="8" t="s">
        <v>27</v>
      </c>
      <c r="L526" s="8" t="s">
        <v>28</v>
      </c>
      <c r="M526" s="2" t="s">
        <v>146</v>
      </c>
      <c r="N526" s="6" t="s">
        <v>138</v>
      </c>
      <c r="O526" s="11">
        <v>550</v>
      </c>
      <c r="P526" s="2" t="s">
        <v>737</v>
      </c>
      <c r="Q526" s="12" t="str">
        <f t="shared" si="100"/>
        <v>23</v>
      </c>
      <c r="R526" s="12" t="str">
        <f t="shared" si="101"/>
        <v>05</v>
      </c>
      <c r="S526" s="6" t="s">
        <v>129</v>
      </c>
      <c r="T526" s="1" t="s">
        <v>130</v>
      </c>
      <c r="U526" s="6" t="s">
        <v>148</v>
      </c>
      <c r="V526" s="1" t="s">
        <v>143</v>
      </c>
      <c r="W526" s="1" t="s">
        <v>133</v>
      </c>
      <c r="X526" s="5">
        <v>46219</v>
      </c>
      <c r="Y526" s="1">
        <f t="shared" si="109"/>
        <v>85</v>
      </c>
      <c r="Z526" s="5">
        <v>46219</v>
      </c>
      <c r="AA526" s="3"/>
      <c r="AB526" s="3"/>
      <c r="AD526" s="133" t="str">
        <f t="shared" si="107"/>
        <v>Closed In July</v>
      </c>
    </row>
    <row r="527" spans="1:30" hidden="1">
      <c r="A527" s="9">
        <v>46134</v>
      </c>
      <c r="B527" s="1">
        <v>2026</v>
      </c>
      <c r="C527" s="8" t="s">
        <v>26</v>
      </c>
      <c r="D527" s="11" t="s">
        <v>179</v>
      </c>
      <c r="E527" s="1"/>
      <c r="F527" s="1" t="s">
        <v>19</v>
      </c>
      <c r="G527" s="8" t="s">
        <v>180</v>
      </c>
      <c r="H527" s="8">
        <v>8248438488</v>
      </c>
      <c r="I527" s="10" t="s">
        <v>30</v>
      </c>
      <c r="J527" s="8" t="s">
        <v>181</v>
      </c>
      <c r="K527" s="8" t="s">
        <v>27</v>
      </c>
      <c r="L527" s="8" t="s">
        <v>28</v>
      </c>
      <c r="M527" s="2" t="s">
        <v>588</v>
      </c>
      <c r="N527" s="6" t="s">
        <v>138</v>
      </c>
      <c r="O527" s="11">
        <v>550</v>
      </c>
      <c r="P527" s="2" t="s">
        <v>738</v>
      </c>
      <c r="Q527" s="12" t="str">
        <f t="shared" si="100"/>
        <v>23</v>
      </c>
      <c r="R527" s="12" t="str">
        <f t="shared" si="101"/>
        <v>05</v>
      </c>
      <c r="S527" s="6" t="s">
        <v>129</v>
      </c>
      <c r="T527" s="1" t="s">
        <v>130</v>
      </c>
      <c r="U527" s="6" t="s">
        <v>142</v>
      </c>
      <c r="V527" s="1" t="s">
        <v>143</v>
      </c>
      <c r="W527" s="1" t="s">
        <v>133</v>
      </c>
      <c r="X527" s="5">
        <v>46219</v>
      </c>
      <c r="Y527" s="1">
        <f t="shared" ref="Y527:Y530" si="110">X527-A527</f>
        <v>85</v>
      </c>
      <c r="Z527" s="5">
        <v>46219</v>
      </c>
      <c r="AA527" s="3"/>
      <c r="AB527" s="3"/>
      <c r="AD527" s="133" t="str">
        <f t="shared" si="107"/>
        <v>Closed In July</v>
      </c>
    </row>
    <row r="528" spans="1:30" hidden="1">
      <c r="A528" s="9">
        <v>46134</v>
      </c>
      <c r="B528" s="1">
        <v>2026</v>
      </c>
      <c r="C528" s="8" t="s">
        <v>26</v>
      </c>
      <c r="D528" s="11" t="s">
        <v>179</v>
      </c>
      <c r="E528" s="1"/>
      <c r="F528" s="1" t="s">
        <v>19</v>
      </c>
      <c r="G528" s="8" t="s">
        <v>180</v>
      </c>
      <c r="H528" s="8">
        <v>8248438488</v>
      </c>
      <c r="I528" s="10" t="s">
        <v>30</v>
      </c>
      <c r="J528" s="8" t="s">
        <v>181</v>
      </c>
      <c r="K528" s="8" t="s">
        <v>27</v>
      </c>
      <c r="L528" s="8" t="s">
        <v>28</v>
      </c>
      <c r="M528" s="2" t="s">
        <v>146</v>
      </c>
      <c r="N528" s="6" t="s">
        <v>138</v>
      </c>
      <c r="O528" s="11">
        <v>550</v>
      </c>
      <c r="P528" s="2" t="s">
        <v>739</v>
      </c>
      <c r="Q528" s="12" t="str">
        <f t="shared" si="100"/>
        <v>23</v>
      </c>
      <c r="R528" s="12" t="str">
        <f t="shared" si="101"/>
        <v>05</v>
      </c>
      <c r="S528" s="6" t="s">
        <v>129</v>
      </c>
      <c r="T528" s="1" t="s">
        <v>130</v>
      </c>
      <c r="U528" s="6" t="s">
        <v>148</v>
      </c>
      <c r="V528" s="1" t="s">
        <v>143</v>
      </c>
      <c r="W528" s="1" t="s">
        <v>133</v>
      </c>
      <c r="X528" s="5">
        <v>46219</v>
      </c>
      <c r="Y528" s="1">
        <f t="shared" si="110"/>
        <v>85</v>
      </c>
      <c r="Z528" s="5">
        <v>46219</v>
      </c>
      <c r="AA528" s="3"/>
      <c r="AB528" s="3"/>
      <c r="AD528" s="133" t="str">
        <f t="shared" si="107"/>
        <v>Closed In July</v>
      </c>
    </row>
    <row r="529" spans="1:30" hidden="1">
      <c r="A529" s="9">
        <v>46134</v>
      </c>
      <c r="B529" s="1">
        <v>2026</v>
      </c>
      <c r="C529" s="8" t="s">
        <v>26</v>
      </c>
      <c r="D529" s="11" t="s">
        <v>179</v>
      </c>
      <c r="E529" s="1"/>
      <c r="F529" s="1" t="s">
        <v>19</v>
      </c>
      <c r="G529" s="8" t="s">
        <v>180</v>
      </c>
      <c r="H529" s="8">
        <v>8248438488</v>
      </c>
      <c r="I529" s="10" t="s">
        <v>30</v>
      </c>
      <c r="J529" s="8" t="s">
        <v>181</v>
      </c>
      <c r="K529" s="8" t="s">
        <v>27</v>
      </c>
      <c r="L529" s="8" t="s">
        <v>28</v>
      </c>
      <c r="M529" s="2" t="s">
        <v>146</v>
      </c>
      <c r="N529" s="6" t="s">
        <v>138</v>
      </c>
      <c r="O529" s="11">
        <v>550</v>
      </c>
      <c r="P529" s="2" t="s">
        <v>740</v>
      </c>
      <c r="Q529" s="12" t="str">
        <f t="shared" si="100"/>
        <v>23</v>
      </c>
      <c r="R529" s="12" t="str">
        <f t="shared" si="101"/>
        <v>05</v>
      </c>
      <c r="S529" s="6" t="s">
        <v>129</v>
      </c>
      <c r="T529" s="1" t="s">
        <v>130</v>
      </c>
      <c r="U529" s="6" t="s">
        <v>148</v>
      </c>
      <c r="V529" s="1" t="s">
        <v>143</v>
      </c>
      <c r="W529" s="1" t="s">
        <v>133</v>
      </c>
      <c r="X529" s="5">
        <v>46219</v>
      </c>
      <c r="Y529" s="1">
        <f t="shared" si="110"/>
        <v>85</v>
      </c>
      <c r="Z529" s="5">
        <v>46219</v>
      </c>
      <c r="AA529" s="3"/>
      <c r="AB529" s="3"/>
      <c r="AD529" s="133" t="str">
        <f t="shared" si="107"/>
        <v>Closed In July</v>
      </c>
    </row>
    <row r="530" spans="1:30" hidden="1">
      <c r="A530" s="21">
        <v>46219</v>
      </c>
      <c r="B530" s="1">
        <v>2026</v>
      </c>
      <c r="C530" s="33" t="s">
        <v>62</v>
      </c>
      <c r="D530" s="11" t="s">
        <v>123</v>
      </c>
      <c r="E530" s="1"/>
      <c r="F530" s="1" t="s">
        <v>19</v>
      </c>
      <c r="G530" s="8" t="s">
        <v>619</v>
      </c>
      <c r="H530" s="18">
        <v>8828840014</v>
      </c>
      <c r="I530" s="10" t="s">
        <v>71</v>
      </c>
      <c r="J530" s="18" t="s">
        <v>741</v>
      </c>
      <c r="K530" s="33" t="s">
        <v>53</v>
      </c>
      <c r="L530" s="8" t="s">
        <v>35</v>
      </c>
      <c r="M530" s="2" t="s">
        <v>471</v>
      </c>
      <c r="N530" s="8" t="s">
        <v>1108</v>
      </c>
      <c r="O530" s="8">
        <v>600</v>
      </c>
      <c r="P530" s="6" t="s">
        <v>742</v>
      </c>
      <c r="Q530" s="12" t="str">
        <f t="shared" ref="Q530:Q531" si="111">MID(P530,5,2)</f>
        <v>26</v>
      </c>
      <c r="R530" s="12" t="str">
        <f t="shared" ref="R530:R531" si="112">MID(P530,7,2)</f>
        <v>06</v>
      </c>
      <c r="S530" s="6" t="s">
        <v>140</v>
      </c>
      <c r="T530" s="1" t="s">
        <v>474</v>
      </c>
      <c r="U530" s="8" t="s">
        <v>508</v>
      </c>
      <c r="V530" s="6" t="s">
        <v>515</v>
      </c>
      <c r="W530" s="1" t="s">
        <v>259</v>
      </c>
      <c r="X530" s="5">
        <v>46219</v>
      </c>
      <c r="Y530" s="1">
        <f t="shared" si="110"/>
        <v>0</v>
      </c>
      <c r="Z530" s="5">
        <v>46219</v>
      </c>
      <c r="AA530" s="3"/>
      <c r="AB530" s="3"/>
      <c r="AD530" s="133" t="str">
        <f t="shared" si="107"/>
        <v>Closed In July</v>
      </c>
    </row>
    <row r="531" spans="1:30" hidden="1">
      <c r="A531" s="9">
        <v>46134</v>
      </c>
      <c r="B531" s="1">
        <v>2026</v>
      </c>
      <c r="C531" s="8" t="s">
        <v>26</v>
      </c>
      <c r="D531" s="11" t="s">
        <v>179</v>
      </c>
      <c r="E531" s="1"/>
      <c r="F531" s="1" t="s">
        <v>19</v>
      </c>
      <c r="G531" s="8" t="s">
        <v>180</v>
      </c>
      <c r="H531" s="8">
        <v>8248438488</v>
      </c>
      <c r="I531" s="10" t="s">
        <v>30</v>
      </c>
      <c r="J531" s="8" t="s">
        <v>181</v>
      </c>
      <c r="K531" s="8" t="s">
        <v>27</v>
      </c>
      <c r="L531" s="8" t="s">
        <v>28</v>
      </c>
      <c r="M531" s="2" t="s">
        <v>146</v>
      </c>
      <c r="N531" s="6" t="s">
        <v>138</v>
      </c>
      <c r="O531" s="11">
        <v>550</v>
      </c>
      <c r="P531" s="2" t="s">
        <v>743</v>
      </c>
      <c r="Q531" s="12" t="str">
        <f t="shared" si="111"/>
        <v>23</v>
      </c>
      <c r="R531" s="12" t="str">
        <f t="shared" si="112"/>
        <v>05</v>
      </c>
      <c r="S531" s="6" t="s">
        <v>129</v>
      </c>
      <c r="T531" s="1" t="s">
        <v>130</v>
      </c>
      <c r="U531" s="6" t="s">
        <v>148</v>
      </c>
      <c r="V531" s="1" t="s">
        <v>143</v>
      </c>
      <c r="W531" s="1" t="s">
        <v>133</v>
      </c>
      <c r="X531" s="5">
        <v>46220</v>
      </c>
      <c r="Y531" s="1">
        <f t="shared" ref="Y531" si="113">X531-A531</f>
        <v>86</v>
      </c>
      <c r="Z531" s="5">
        <v>46220</v>
      </c>
      <c r="AA531" s="3"/>
      <c r="AB531" s="3"/>
      <c r="AD531" s="133" t="str">
        <f t="shared" si="107"/>
        <v>Closed In July</v>
      </c>
    </row>
    <row r="532" spans="1:30" hidden="1">
      <c r="A532" s="9">
        <v>46134</v>
      </c>
      <c r="B532" s="1">
        <v>2026</v>
      </c>
      <c r="C532" s="8" t="s">
        <v>26</v>
      </c>
      <c r="D532" s="11" t="s">
        <v>179</v>
      </c>
      <c r="E532" s="1"/>
      <c r="F532" s="1" t="s">
        <v>19</v>
      </c>
      <c r="G532" s="8" t="s">
        <v>180</v>
      </c>
      <c r="H532" s="8">
        <v>8248438488</v>
      </c>
      <c r="I532" s="10" t="s">
        <v>30</v>
      </c>
      <c r="J532" s="8" t="s">
        <v>181</v>
      </c>
      <c r="K532" s="8" t="s">
        <v>27</v>
      </c>
      <c r="L532" s="8" t="s">
        <v>28</v>
      </c>
      <c r="M532" s="2" t="s">
        <v>146</v>
      </c>
      <c r="N532" s="6" t="s">
        <v>138</v>
      </c>
      <c r="O532" s="11">
        <v>550</v>
      </c>
      <c r="P532" s="2" t="s">
        <v>744</v>
      </c>
      <c r="Q532" s="12" t="str">
        <f t="shared" ref="Q532:Q559" si="114">MID(P532,5,2)</f>
        <v>23</v>
      </c>
      <c r="R532" s="12" t="str">
        <f t="shared" ref="R532:R559" si="115">MID(P532,7,2)</f>
        <v>05</v>
      </c>
      <c r="S532" s="6" t="s">
        <v>129</v>
      </c>
      <c r="T532" s="1" t="s">
        <v>130</v>
      </c>
      <c r="U532" s="6" t="s">
        <v>148</v>
      </c>
      <c r="V532" s="1" t="s">
        <v>143</v>
      </c>
      <c r="W532" s="1" t="s">
        <v>133</v>
      </c>
      <c r="X532" s="5">
        <v>46220</v>
      </c>
      <c r="Y532" s="1">
        <f t="shared" ref="Y532:Y561" si="116">X532-A532</f>
        <v>86</v>
      </c>
      <c r="Z532" s="5">
        <v>46220</v>
      </c>
      <c r="AA532" s="3"/>
      <c r="AB532" s="3"/>
      <c r="AD532" s="133" t="str">
        <f t="shared" si="107"/>
        <v>Closed In July</v>
      </c>
    </row>
    <row r="533" spans="1:30" hidden="1">
      <c r="A533" s="9">
        <v>46134</v>
      </c>
      <c r="B533" s="1">
        <v>2026</v>
      </c>
      <c r="C533" s="8" t="s">
        <v>26</v>
      </c>
      <c r="D533" s="11" t="s">
        <v>179</v>
      </c>
      <c r="E533" s="1"/>
      <c r="F533" s="1" t="s">
        <v>19</v>
      </c>
      <c r="G533" s="8" t="s">
        <v>180</v>
      </c>
      <c r="H533" s="8">
        <v>8248438488</v>
      </c>
      <c r="I533" s="10" t="s">
        <v>30</v>
      </c>
      <c r="J533" s="8" t="s">
        <v>181</v>
      </c>
      <c r="K533" s="8" t="s">
        <v>27</v>
      </c>
      <c r="L533" s="8" t="s">
        <v>28</v>
      </c>
      <c r="M533" s="2" t="s">
        <v>146</v>
      </c>
      <c r="N533" s="6" t="s">
        <v>138</v>
      </c>
      <c r="O533" s="11">
        <v>550</v>
      </c>
      <c r="P533" s="2" t="s">
        <v>745</v>
      </c>
      <c r="Q533" s="12" t="str">
        <f t="shared" si="114"/>
        <v>23</v>
      </c>
      <c r="R533" s="12" t="str">
        <f t="shared" si="115"/>
        <v>06</v>
      </c>
      <c r="S533" s="6" t="s">
        <v>129</v>
      </c>
      <c r="T533" s="1" t="s">
        <v>130</v>
      </c>
      <c r="U533" s="6" t="s">
        <v>148</v>
      </c>
      <c r="V533" s="1" t="s">
        <v>143</v>
      </c>
      <c r="W533" s="1" t="s">
        <v>133</v>
      </c>
      <c r="X533" s="5">
        <v>46220</v>
      </c>
      <c r="Y533" s="1">
        <f t="shared" si="116"/>
        <v>86</v>
      </c>
      <c r="Z533" s="5">
        <v>46220</v>
      </c>
      <c r="AA533" s="3"/>
      <c r="AB533" s="3"/>
      <c r="AD533" s="133" t="str">
        <f t="shared" si="107"/>
        <v>Closed In July</v>
      </c>
    </row>
    <row r="534" spans="1:30" hidden="1">
      <c r="A534" s="9">
        <v>46134</v>
      </c>
      <c r="B534" s="1">
        <v>2026</v>
      </c>
      <c r="C534" s="8" t="s">
        <v>26</v>
      </c>
      <c r="D534" s="11" t="s">
        <v>179</v>
      </c>
      <c r="E534" s="1"/>
      <c r="F534" s="1" t="s">
        <v>19</v>
      </c>
      <c r="G534" s="8" t="s">
        <v>180</v>
      </c>
      <c r="H534" s="8">
        <v>8248438488</v>
      </c>
      <c r="I534" s="10" t="s">
        <v>30</v>
      </c>
      <c r="J534" s="8" t="s">
        <v>181</v>
      </c>
      <c r="K534" s="8" t="s">
        <v>27</v>
      </c>
      <c r="L534" s="8" t="s">
        <v>28</v>
      </c>
      <c r="M534" s="2" t="s">
        <v>146</v>
      </c>
      <c r="N534" s="6" t="s">
        <v>138</v>
      </c>
      <c r="O534" s="11">
        <v>550</v>
      </c>
      <c r="P534" s="2" t="s">
        <v>746</v>
      </c>
      <c r="Q534" s="12" t="str">
        <f t="shared" si="114"/>
        <v>23</v>
      </c>
      <c r="R534" s="12" t="str">
        <f t="shared" si="115"/>
        <v>05</v>
      </c>
      <c r="S534" s="6" t="s">
        <v>129</v>
      </c>
      <c r="T534" s="1" t="s">
        <v>130</v>
      </c>
      <c r="U534" s="6" t="s">
        <v>148</v>
      </c>
      <c r="V534" s="1" t="s">
        <v>143</v>
      </c>
      <c r="W534" s="1" t="s">
        <v>133</v>
      </c>
      <c r="X534" s="5">
        <v>46220</v>
      </c>
      <c r="Y534" s="1">
        <f t="shared" si="116"/>
        <v>86</v>
      </c>
      <c r="Z534" s="5">
        <v>46220</v>
      </c>
      <c r="AA534" s="3"/>
      <c r="AB534" s="3"/>
      <c r="AD534" s="133" t="str">
        <f t="shared" si="107"/>
        <v>Closed In July</v>
      </c>
    </row>
    <row r="535" spans="1:30" hidden="1">
      <c r="A535" s="9">
        <v>46134</v>
      </c>
      <c r="B535" s="1">
        <v>2026</v>
      </c>
      <c r="C535" s="8" t="s">
        <v>26</v>
      </c>
      <c r="D535" s="11" t="s">
        <v>179</v>
      </c>
      <c r="E535" s="1"/>
      <c r="F535" s="1" t="s">
        <v>19</v>
      </c>
      <c r="G535" s="8" t="s">
        <v>180</v>
      </c>
      <c r="H535" s="8">
        <v>8248438488</v>
      </c>
      <c r="I535" s="10" t="s">
        <v>30</v>
      </c>
      <c r="J535" s="8" t="s">
        <v>181</v>
      </c>
      <c r="K535" s="8" t="s">
        <v>27</v>
      </c>
      <c r="L535" s="8" t="s">
        <v>28</v>
      </c>
      <c r="M535" s="2" t="s">
        <v>146</v>
      </c>
      <c r="N535" s="6" t="s">
        <v>138</v>
      </c>
      <c r="O535" s="11">
        <v>550</v>
      </c>
      <c r="P535" s="2" t="s">
        <v>747</v>
      </c>
      <c r="Q535" s="12" t="str">
        <f t="shared" si="114"/>
        <v>23</v>
      </c>
      <c r="R535" s="12" t="str">
        <f t="shared" si="115"/>
        <v>05</v>
      </c>
      <c r="S535" s="6" t="s">
        <v>129</v>
      </c>
      <c r="T535" s="1" t="s">
        <v>130</v>
      </c>
      <c r="U535" s="6" t="s">
        <v>148</v>
      </c>
      <c r="V535" s="1" t="s">
        <v>143</v>
      </c>
      <c r="W535" s="1" t="s">
        <v>133</v>
      </c>
      <c r="X535" s="5">
        <v>46220</v>
      </c>
      <c r="Y535" s="1">
        <f t="shared" si="116"/>
        <v>86</v>
      </c>
      <c r="Z535" s="5">
        <v>46220</v>
      </c>
      <c r="AA535" s="3"/>
      <c r="AB535" s="3"/>
      <c r="AD535" s="133" t="str">
        <f t="shared" si="107"/>
        <v>Closed In July</v>
      </c>
    </row>
    <row r="536" spans="1:30" hidden="1">
      <c r="A536" s="9">
        <v>46134</v>
      </c>
      <c r="B536" s="1">
        <v>2026</v>
      </c>
      <c r="C536" s="8" t="s">
        <v>26</v>
      </c>
      <c r="D536" s="11" t="s">
        <v>179</v>
      </c>
      <c r="E536" s="1"/>
      <c r="F536" s="1" t="s">
        <v>19</v>
      </c>
      <c r="G536" s="8" t="s">
        <v>180</v>
      </c>
      <c r="H536" s="8">
        <v>8248438488</v>
      </c>
      <c r="I536" s="10" t="s">
        <v>30</v>
      </c>
      <c r="J536" s="8" t="s">
        <v>181</v>
      </c>
      <c r="K536" s="8" t="s">
        <v>27</v>
      </c>
      <c r="L536" s="8" t="s">
        <v>28</v>
      </c>
      <c r="M536" s="2" t="s">
        <v>137</v>
      </c>
      <c r="N536" s="6" t="s">
        <v>138</v>
      </c>
      <c r="O536" s="11">
        <v>550</v>
      </c>
      <c r="P536" s="2" t="s">
        <v>748</v>
      </c>
      <c r="Q536" s="12" t="str">
        <f t="shared" si="114"/>
        <v>23</v>
      </c>
      <c r="R536" s="12" t="str">
        <f t="shared" si="115"/>
        <v>05</v>
      </c>
      <c r="S536" s="6" t="s">
        <v>129</v>
      </c>
      <c r="T536" s="1" t="s">
        <v>130</v>
      </c>
      <c r="U536" s="6" t="s">
        <v>142</v>
      </c>
      <c r="V536" s="1" t="s">
        <v>143</v>
      </c>
      <c r="W536" s="1" t="s">
        <v>133</v>
      </c>
      <c r="X536" s="5">
        <v>46220</v>
      </c>
      <c r="Y536" s="1">
        <f t="shared" si="116"/>
        <v>86</v>
      </c>
      <c r="Z536" s="5">
        <v>46220</v>
      </c>
      <c r="AA536" s="3"/>
      <c r="AB536" s="3"/>
      <c r="AD536" s="133" t="str">
        <f t="shared" si="107"/>
        <v>Closed In July</v>
      </c>
    </row>
    <row r="537" spans="1:30" hidden="1">
      <c r="A537" s="9">
        <v>46134</v>
      </c>
      <c r="B537" s="1">
        <v>2026</v>
      </c>
      <c r="C537" s="8" t="s">
        <v>26</v>
      </c>
      <c r="D537" s="11" t="s">
        <v>179</v>
      </c>
      <c r="E537" s="1"/>
      <c r="F537" s="1" t="s">
        <v>19</v>
      </c>
      <c r="G537" s="8" t="s">
        <v>180</v>
      </c>
      <c r="H537" s="8">
        <v>8248438488</v>
      </c>
      <c r="I537" s="10" t="s">
        <v>30</v>
      </c>
      <c r="J537" s="8" t="s">
        <v>181</v>
      </c>
      <c r="K537" s="8" t="s">
        <v>27</v>
      </c>
      <c r="L537" s="8" t="s">
        <v>28</v>
      </c>
      <c r="M537" s="2" t="s">
        <v>137</v>
      </c>
      <c r="N537" s="6" t="s">
        <v>138</v>
      </c>
      <c r="O537" s="11">
        <v>550</v>
      </c>
      <c r="P537" s="2" t="s">
        <v>749</v>
      </c>
      <c r="Q537" s="12" t="str">
        <f t="shared" si="114"/>
        <v>23</v>
      </c>
      <c r="R537" s="12" t="str">
        <f t="shared" si="115"/>
        <v>05</v>
      </c>
      <c r="S537" s="6" t="s">
        <v>129</v>
      </c>
      <c r="T537" s="1" t="s">
        <v>130</v>
      </c>
      <c r="U537" s="6" t="s">
        <v>142</v>
      </c>
      <c r="V537" s="1" t="s">
        <v>143</v>
      </c>
      <c r="W537" s="1" t="s">
        <v>133</v>
      </c>
      <c r="X537" s="5">
        <v>46220</v>
      </c>
      <c r="Y537" s="1">
        <f t="shared" si="116"/>
        <v>86</v>
      </c>
      <c r="Z537" s="5">
        <v>46220</v>
      </c>
      <c r="AA537" s="3"/>
      <c r="AB537" s="3"/>
      <c r="AD537" s="133" t="str">
        <f t="shared" si="107"/>
        <v>Closed In July</v>
      </c>
    </row>
    <row r="538" spans="1:30" hidden="1">
      <c r="A538" s="9">
        <v>46134</v>
      </c>
      <c r="B538" s="1">
        <v>2026</v>
      </c>
      <c r="C538" s="8" t="s">
        <v>26</v>
      </c>
      <c r="D538" s="11" t="s">
        <v>179</v>
      </c>
      <c r="E538" s="1"/>
      <c r="F538" s="1" t="s">
        <v>19</v>
      </c>
      <c r="G538" s="8" t="s">
        <v>180</v>
      </c>
      <c r="H538" s="8">
        <v>8248438488</v>
      </c>
      <c r="I538" s="10" t="s">
        <v>30</v>
      </c>
      <c r="J538" s="8" t="s">
        <v>181</v>
      </c>
      <c r="K538" s="8" t="s">
        <v>27</v>
      </c>
      <c r="L538" s="8" t="s">
        <v>28</v>
      </c>
      <c r="M538" s="2" t="s">
        <v>146</v>
      </c>
      <c r="N538" s="6" t="s">
        <v>138</v>
      </c>
      <c r="O538" s="11">
        <v>550</v>
      </c>
      <c r="P538" s="2" t="s">
        <v>750</v>
      </c>
      <c r="Q538" s="12" t="str">
        <f t="shared" si="114"/>
        <v>23</v>
      </c>
      <c r="R538" s="12" t="str">
        <f t="shared" si="115"/>
        <v>06</v>
      </c>
      <c r="S538" s="6" t="s">
        <v>129</v>
      </c>
      <c r="T538" s="1" t="s">
        <v>130</v>
      </c>
      <c r="U538" s="6" t="s">
        <v>148</v>
      </c>
      <c r="V538" s="1" t="s">
        <v>143</v>
      </c>
      <c r="W538" s="1" t="s">
        <v>133</v>
      </c>
      <c r="X538" s="5">
        <v>46220</v>
      </c>
      <c r="Y538" s="1">
        <f t="shared" si="116"/>
        <v>86</v>
      </c>
      <c r="Z538" s="5">
        <v>46220</v>
      </c>
      <c r="AA538" s="3"/>
      <c r="AB538" s="3"/>
      <c r="AD538" s="133" t="str">
        <f t="shared" si="107"/>
        <v>Closed In July</v>
      </c>
    </row>
    <row r="539" spans="1:30" hidden="1">
      <c r="A539" s="9">
        <v>46134</v>
      </c>
      <c r="B539" s="1">
        <v>2026</v>
      </c>
      <c r="C539" s="8" t="s">
        <v>26</v>
      </c>
      <c r="D539" s="11" t="s">
        <v>179</v>
      </c>
      <c r="E539" s="1"/>
      <c r="F539" s="1" t="s">
        <v>19</v>
      </c>
      <c r="G539" s="8" t="s">
        <v>180</v>
      </c>
      <c r="H539" s="8">
        <v>8248438488</v>
      </c>
      <c r="I539" s="10" t="s">
        <v>30</v>
      </c>
      <c r="J539" s="8" t="s">
        <v>181</v>
      </c>
      <c r="K539" s="8" t="s">
        <v>27</v>
      </c>
      <c r="L539" s="8" t="s">
        <v>28</v>
      </c>
      <c r="M539" s="2" t="s">
        <v>146</v>
      </c>
      <c r="N539" s="6" t="s">
        <v>138</v>
      </c>
      <c r="O539" s="11">
        <v>550</v>
      </c>
      <c r="P539" s="2" t="s">
        <v>751</v>
      </c>
      <c r="Q539" s="12" t="str">
        <f t="shared" si="114"/>
        <v>23</v>
      </c>
      <c r="R539" s="12" t="str">
        <f t="shared" si="115"/>
        <v>05</v>
      </c>
      <c r="S539" s="6" t="s">
        <v>129</v>
      </c>
      <c r="T539" s="1" t="s">
        <v>130</v>
      </c>
      <c r="U539" s="6" t="s">
        <v>148</v>
      </c>
      <c r="V539" s="1" t="s">
        <v>143</v>
      </c>
      <c r="W539" s="1" t="s">
        <v>133</v>
      </c>
      <c r="X539" s="5">
        <v>46220</v>
      </c>
      <c r="Y539" s="1">
        <f t="shared" si="116"/>
        <v>86</v>
      </c>
      <c r="Z539" s="5">
        <v>46220</v>
      </c>
      <c r="AA539" s="3"/>
      <c r="AB539" s="3"/>
      <c r="AD539" s="133" t="str">
        <f t="shared" si="107"/>
        <v>Closed In July</v>
      </c>
    </row>
    <row r="540" spans="1:30" hidden="1">
      <c r="A540" s="9">
        <v>46134</v>
      </c>
      <c r="B540" s="1">
        <v>2026</v>
      </c>
      <c r="C540" s="8" t="s">
        <v>26</v>
      </c>
      <c r="D540" s="11" t="s">
        <v>179</v>
      </c>
      <c r="E540" s="1"/>
      <c r="F540" s="1" t="s">
        <v>19</v>
      </c>
      <c r="G540" s="8" t="s">
        <v>180</v>
      </c>
      <c r="H540" s="8">
        <v>8248438488</v>
      </c>
      <c r="I540" s="10" t="s">
        <v>30</v>
      </c>
      <c r="J540" s="8" t="s">
        <v>181</v>
      </c>
      <c r="K540" s="8" t="s">
        <v>27</v>
      </c>
      <c r="L540" s="8" t="s">
        <v>28</v>
      </c>
      <c r="M540" s="2" t="s">
        <v>146</v>
      </c>
      <c r="N540" s="6" t="s">
        <v>138</v>
      </c>
      <c r="O540" s="11">
        <v>550</v>
      </c>
      <c r="P540" s="2" t="s">
        <v>752</v>
      </c>
      <c r="Q540" s="12" t="str">
        <f t="shared" si="114"/>
        <v>23</v>
      </c>
      <c r="R540" s="12" t="str">
        <f t="shared" si="115"/>
        <v>05</v>
      </c>
      <c r="S540" s="6" t="s">
        <v>129</v>
      </c>
      <c r="T540" s="1" t="s">
        <v>130</v>
      </c>
      <c r="U540" s="6" t="s">
        <v>148</v>
      </c>
      <c r="V540" s="1" t="s">
        <v>143</v>
      </c>
      <c r="W540" s="1" t="s">
        <v>133</v>
      </c>
      <c r="X540" s="5">
        <v>46220</v>
      </c>
      <c r="Y540" s="1">
        <f t="shared" si="116"/>
        <v>86</v>
      </c>
      <c r="Z540" s="5">
        <v>46220</v>
      </c>
      <c r="AA540" s="3"/>
      <c r="AB540" s="3"/>
      <c r="AD540" s="133" t="str">
        <f t="shared" si="107"/>
        <v>Closed In July</v>
      </c>
    </row>
    <row r="541" spans="1:30" hidden="1">
      <c r="A541" s="9">
        <v>46134</v>
      </c>
      <c r="B541" s="1">
        <v>2026</v>
      </c>
      <c r="C541" s="8" t="s">
        <v>26</v>
      </c>
      <c r="D541" s="11" t="s">
        <v>179</v>
      </c>
      <c r="E541" s="1"/>
      <c r="F541" s="1" t="s">
        <v>19</v>
      </c>
      <c r="G541" s="8" t="s">
        <v>180</v>
      </c>
      <c r="H541" s="8">
        <v>8248438488</v>
      </c>
      <c r="I541" s="10" t="s">
        <v>30</v>
      </c>
      <c r="J541" s="8" t="s">
        <v>181</v>
      </c>
      <c r="K541" s="8" t="s">
        <v>27</v>
      </c>
      <c r="L541" s="8" t="s">
        <v>28</v>
      </c>
      <c r="M541" s="2" t="s">
        <v>137</v>
      </c>
      <c r="N541" s="6" t="s">
        <v>138</v>
      </c>
      <c r="O541" s="11">
        <v>550</v>
      </c>
      <c r="P541" s="2" t="s">
        <v>753</v>
      </c>
      <c r="Q541" s="12" t="str">
        <f t="shared" si="114"/>
        <v>23</v>
      </c>
      <c r="R541" s="12" t="str">
        <f t="shared" si="115"/>
        <v>06</v>
      </c>
      <c r="S541" s="6" t="s">
        <v>129</v>
      </c>
      <c r="T541" s="1" t="s">
        <v>130</v>
      </c>
      <c r="U541" s="6" t="s">
        <v>142</v>
      </c>
      <c r="V541" s="1" t="s">
        <v>143</v>
      </c>
      <c r="W541" s="1" t="s">
        <v>133</v>
      </c>
      <c r="X541" s="5">
        <v>46220</v>
      </c>
      <c r="Y541" s="1">
        <f t="shared" si="116"/>
        <v>86</v>
      </c>
      <c r="Z541" s="5">
        <v>46220</v>
      </c>
      <c r="AA541" s="3"/>
      <c r="AB541" s="3"/>
      <c r="AD541" s="133" t="str">
        <f t="shared" si="107"/>
        <v>Closed In July</v>
      </c>
    </row>
    <row r="542" spans="1:30" hidden="1">
      <c r="A542" s="9">
        <v>46134</v>
      </c>
      <c r="B542" s="1">
        <v>2026</v>
      </c>
      <c r="C542" s="8" t="s">
        <v>26</v>
      </c>
      <c r="D542" s="11" t="s">
        <v>179</v>
      </c>
      <c r="E542" s="1"/>
      <c r="F542" s="1" t="s">
        <v>19</v>
      </c>
      <c r="G542" s="8" t="s">
        <v>180</v>
      </c>
      <c r="H542" s="8">
        <v>8248438488</v>
      </c>
      <c r="I542" s="10" t="s">
        <v>30</v>
      </c>
      <c r="J542" s="8" t="s">
        <v>181</v>
      </c>
      <c r="K542" s="8" t="s">
        <v>27</v>
      </c>
      <c r="L542" s="8" t="s">
        <v>28</v>
      </c>
      <c r="M542" s="2" t="s">
        <v>146</v>
      </c>
      <c r="N542" s="6" t="s">
        <v>138</v>
      </c>
      <c r="O542" s="11">
        <v>550</v>
      </c>
      <c r="P542" s="2" t="s">
        <v>754</v>
      </c>
      <c r="Q542" s="12" t="str">
        <f t="shared" si="114"/>
        <v>23</v>
      </c>
      <c r="R542" s="12" t="str">
        <f t="shared" si="115"/>
        <v>05</v>
      </c>
      <c r="S542" s="6" t="s">
        <v>129</v>
      </c>
      <c r="T542" s="1" t="s">
        <v>130</v>
      </c>
      <c r="U542" s="6" t="s">
        <v>148</v>
      </c>
      <c r="V542" s="1" t="s">
        <v>143</v>
      </c>
      <c r="W542" s="1" t="s">
        <v>133</v>
      </c>
      <c r="X542" s="5">
        <v>46220</v>
      </c>
      <c r="Y542" s="1">
        <f t="shared" si="116"/>
        <v>86</v>
      </c>
      <c r="Z542" s="5">
        <v>46220</v>
      </c>
      <c r="AA542" s="3"/>
      <c r="AB542" s="3"/>
      <c r="AD542" s="133" t="str">
        <f t="shared" si="107"/>
        <v>Closed In July</v>
      </c>
    </row>
    <row r="543" spans="1:30" hidden="1">
      <c r="A543" s="9">
        <v>46134</v>
      </c>
      <c r="B543" s="1">
        <v>2026</v>
      </c>
      <c r="C543" s="8" t="s">
        <v>26</v>
      </c>
      <c r="D543" s="11" t="s">
        <v>179</v>
      </c>
      <c r="E543" s="1"/>
      <c r="F543" s="1" t="s">
        <v>19</v>
      </c>
      <c r="G543" s="8" t="s">
        <v>180</v>
      </c>
      <c r="H543" s="8">
        <v>8248438488</v>
      </c>
      <c r="I543" s="10" t="s">
        <v>30</v>
      </c>
      <c r="J543" s="8" t="s">
        <v>181</v>
      </c>
      <c r="K543" s="8" t="s">
        <v>27</v>
      </c>
      <c r="L543" s="8" t="s">
        <v>28</v>
      </c>
      <c r="M543" s="2" t="s">
        <v>146</v>
      </c>
      <c r="N543" s="6" t="s">
        <v>138</v>
      </c>
      <c r="O543" s="11">
        <v>550</v>
      </c>
      <c r="P543" s="2" t="s">
        <v>755</v>
      </c>
      <c r="Q543" s="12" t="str">
        <f t="shared" si="114"/>
        <v>23</v>
      </c>
      <c r="R543" s="12" t="str">
        <f t="shared" si="115"/>
        <v>06</v>
      </c>
      <c r="S543" s="6" t="s">
        <v>129</v>
      </c>
      <c r="T543" s="1" t="s">
        <v>130</v>
      </c>
      <c r="U543" s="6" t="s">
        <v>148</v>
      </c>
      <c r="V543" s="1" t="s">
        <v>143</v>
      </c>
      <c r="W543" s="1" t="s">
        <v>133</v>
      </c>
      <c r="X543" s="5">
        <v>46220</v>
      </c>
      <c r="Y543" s="1">
        <f t="shared" si="116"/>
        <v>86</v>
      </c>
      <c r="Z543" s="5">
        <v>46220</v>
      </c>
      <c r="AA543" s="3"/>
      <c r="AB543" s="3"/>
      <c r="AD543" s="133" t="str">
        <f t="shared" si="107"/>
        <v>Closed In July</v>
      </c>
    </row>
    <row r="544" spans="1:30" hidden="1">
      <c r="A544" s="9">
        <v>46134</v>
      </c>
      <c r="B544" s="1">
        <v>2026</v>
      </c>
      <c r="C544" s="8" t="s">
        <v>26</v>
      </c>
      <c r="D544" s="11" t="s">
        <v>179</v>
      </c>
      <c r="E544" s="1"/>
      <c r="F544" s="1" t="s">
        <v>19</v>
      </c>
      <c r="G544" s="8" t="s">
        <v>180</v>
      </c>
      <c r="H544" s="8">
        <v>8248438488</v>
      </c>
      <c r="I544" s="10" t="s">
        <v>30</v>
      </c>
      <c r="J544" s="8" t="s">
        <v>181</v>
      </c>
      <c r="K544" s="8" t="s">
        <v>27</v>
      </c>
      <c r="L544" s="8" t="s">
        <v>28</v>
      </c>
      <c r="M544" s="2" t="s">
        <v>146</v>
      </c>
      <c r="N544" s="6" t="s">
        <v>138</v>
      </c>
      <c r="O544" s="11">
        <v>550</v>
      </c>
      <c r="P544" s="2" t="s">
        <v>756</v>
      </c>
      <c r="Q544" s="12" t="str">
        <f t="shared" si="114"/>
        <v>23</v>
      </c>
      <c r="R544" s="12" t="str">
        <f t="shared" si="115"/>
        <v>05</v>
      </c>
      <c r="S544" s="6" t="s">
        <v>129</v>
      </c>
      <c r="T544" s="1" t="s">
        <v>130</v>
      </c>
      <c r="U544" s="6" t="s">
        <v>148</v>
      </c>
      <c r="V544" s="1" t="s">
        <v>143</v>
      </c>
      <c r="W544" s="1" t="s">
        <v>133</v>
      </c>
      <c r="X544" s="5">
        <v>46220</v>
      </c>
      <c r="Y544" s="1">
        <f t="shared" si="116"/>
        <v>86</v>
      </c>
      <c r="Z544" s="5">
        <v>46220</v>
      </c>
      <c r="AA544" s="3"/>
      <c r="AB544" s="3"/>
      <c r="AD544" s="133" t="str">
        <f t="shared" si="107"/>
        <v>Closed In July</v>
      </c>
    </row>
    <row r="545" spans="1:30" hidden="1">
      <c r="A545" s="9">
        <v>46134</v>
      </c>
      <c r="B545" s="1">
        <v>2026</v>
      </c>
      <c r="C545" s="8" t="s">
        <v>26</v>
      </c>
      <c r="D545" s="11" t="s">
        <v>179</v>
      </c>
      <c r="E545" s="1"/>
      <c r="F545" s="1" t="s">
        <v>19</v>
      </c>
      <c r="G545" s="8" t="s">
        <v>180</v>
      </c>
      <c r="H545" s="8">
        <v>8248438488</v>
      </c>
      <c r="I545" s="10" t="s">
        <v>30</v>
      </c>
      <c r="J545" s="8" t="s">
        <v>181</v>
      </c>
      <c r="K545" s="8" t="s">
        <v>27</v>
      </c>
      <c r="L545" s="8" t="s">
        <v>28</v>
      </c>
      <c r="M545" s="2" t="s">
        <v>137</v>
      </c>
      <c r="N545" s="6" t="s">
        <v>138</v>
      </c>
      <c r="O545" s="11">
        <v>550</v>
      </c>
      <c r="P545" s="2" t="s">
        <v>757</v>
      </c>
      <c r="Q545" s="12" t="str">
        <f t="shared" si="114"/>
        <v>23</v>
      </c>
      <c r="R545" s="12" t="str">
        <f t="shared" si="115"/>
        <v>05</v>
      </c>
      <c r="S545" s="6" t="s">
        <v>129</v>
      </c>
      <c r="T545" s="1" t="s">
        <v>130</v>
      </c>
      <c r="U545" s="6" t="s">
        <v>142</v>
      </c>
      <c r="V545" s="1" t="s">
        <v>143</v>
      </c>
      <c r="W545" s="1" t="s">
        <v>133</v>
      </c>
      <c r="X545" s="5">
        <v>46220</v>
      </c>
      <c r="Y545" s="1">
        <f t="shared" si="116"/>
        <v>86</v>
      </c>
      <c r="Z545" s="5">
        <v>46220</v>
      </c>
      <c r="AA545" s="3"/>
      <c r="AB545" s="3"/>
      <c r="AD545" s="133" t="str">
        <f t="shared" si="107"/>
        <v>Closed In July</v>
      </c>
    </row>
    <row r="546" spans="1:30" hidden="1">
      <c r="A546" s="9">
        <v>46134</v>
      </c>
      <c r="B546" s="1">
        <v>2026</v>
      </c>
      <c r="C546" s="8" t="s">
        <v>26</v>
      </c>
      <c r="D546" s="11" t="s">
        <v>179</v>
      </c>
      <c r="E546" s="1"/>
      <c r="F546" s="1" t="s">
        <v>19</v>
      </c>
      <c r="G546" s="8" t="s">
        <v>180</v>
      </c>
      <c r="H546" s="8">
        <v>8248438488</v>
      </c>
      <c r="I546" s="10" t="s">
        <v>30</v>
      </c>
      <c r="J546" s="8" t="s">
        <v>181</v>
      </c>
      <c r="K546" s="8" t="s">
        <v>27</v>
      </c>
      <c r="L546" s="8" t="s">
        <v>28</v>
      </c>
      <c r="M546" s="2" t="s">
        <v>146</v>
      </c>
      <c r="N546" s="6" t="s">
        <v>138</v>
      </c>
      <c r="O546" s="11">
        <v>550</v>
      </c>
      <c r="P546" s="2" t="s">
        <v>758</v>
      </c>
      <c r="Q546" s="12" t="str">
        <f t="shared" si="114"/>
        <v>23</v>
      </c>
      <c r="R546" s="12" t="str">
        <f t="shared" si="115"/>
        <v>05</v>
      </c>
      <c r="S546" s="6" t="s">
        <v>129</v>
      </c>
      <c r="T546" s="1" t="s">
        <v>130</v>
      </c>
      <c r="U546" s="6" t="s">
        <v>148</v>
      </c>
      <c r="V546" s="1" t="s">
        <v>143</v>
      </c>
      <c r="W546" s="1" t="s">
        <v>133</v>
      </c>
      <c r="X546" s="5">
        <v>46220</v>
      </c>
      <c r="Y546" s="1">
        <f t="shared" si="116"/>
        <v>86</v>
      </c>
      <c r="Z546" s="5">
        <v>46220</v>
      </c>
      <c r="AA546" s="3"/>
      <c r="AB546" s="3"/>
      <c r="AD546" s="133" t="str">
        <f t="shared" si="107"/>
        <v>Closed In July</v>
      </c>
    </row>
    <row r="547" spans="1:30" hidden="1">
      <c r="A547" s="9">
        <v>46134</v>
      </c>
      <c r="B547" s="1">
        <v>2026</v>
      </c>
      <c r="C547" s="8" t="s">
        <v>26</v>
      </c>
      <c r="D547" s="11" t="s">
        <v>179</v>
      </c>
      <c r="E547" s="1"/>
      <c r="F547" s="1" t="s">
        <v>19</v>
      </c>
      <c r="G547" s="8" t="s">
        <v>180</v>
      </c>
      <c r="H547" s="8">
        <v>8248438488</v>
      </c>
      <c r="I547" s="10" t="s">
        <v>30</v>
      </c>
      <c r="J547" s="8" t="s">
        <v>181</v>
      </c>
      <c r="K547" s="8" t="s">
        <v>27</v>
      </c>
      <c r="L547" s="8" t="s">
        <v>28</v>
      </c>
      <c r="M547" s="2" t="s">
        <v>146</v>
      </c>
      <c r="N547" s="6" t="s">
        <v>138</v>
      </c>
      <c r="O547" s="11">
        <v>550</v>
      </c>
      <c r="P547" s="2" t="s">
        <v>759</v>
      </c>
      <c r="Q547" s="12" t="str">
        <f t="shared" si="114"/>
        <v>23</v>
      </c>
      <c r="R547" s="12" t="str">
        <f t="shared" si="115"/>
        <v>05</v>
      </c>
      <c r="S547" s="6" t="s">
        <v>129</v>
      </c>
      <c r="T547" s="1" t="s">
        <v>130</v>
      </c>
      <c r="U547" s="6" t="s">
        <v>148</v>
      </c>
      <c r="V547" s="1" t="s">
        <v>143</v>
      </c>
      <c r="W547" s="1" t="s">
        <v>133</v>
      </c>
      <c r="X547" s="5">
        <v>46220</v>
      </c>
      <c r="Y547" s="1">
        <f t="shared" si="116"/>
        <v>86</v>
      </c>
      <c r="Z547" s="5">
        <v>46220</v>
      </c>
      <c r="AA547" s="3"/>
      <c r="AB547" s="3"/>
      <c r="AD547" s="133" t="str">
        <f t="shared" si="107"/>
        <v>Closed In July</v>
      </c>
    </row>
    <row r="548" spans="1:30" hidden="1">
      <c r="A548" s="9">
        <v>46134</v>
      </c>
      <c r="B548" s="1">
        <v>2026</v>
      </c>
      <c r="C548" s="8" t="s">
        <v>26</v>
      </c>
      <c r="D548" s="11" t="s">
        <v>179</v>
      </c>
      <c r="E548" s="1"/>
      <c r="F548" s="1" t="s">
        <v>19</v>
      </c>
      <c r="G548" s="8" t="s">
        <v>180</v>
      </c>
      <c r="H548" s="8">
        <v>8248438488</v>
      </c>
      <c r="I548" s="10" t="s">
        <v>30</v>
      </c>
      <c r="J548" s="8" t="s">
        <v>181</v>
      </c>
      <c r="K548" s="8" t="s">
        <v>27</v>
      </c>
      <c r="L548" s="8" t="s">
        <v>28</v>
      </c>
      <c r="M548" s="2" t="s">
        <v>152</v>
      </c>
      <c r="N548" s="6" t="s">
        <v>138</v>
      </c>
      <c r="O548" s="11">
        <v>550</v>
      </c>
      <c r="P548" s="2" t="s">
        <v>760</v>
      </c>
      <c r="Q548" s="12" t="str">
        <f t="shared" si="114"/>
        <v>23</v>
      </c>
      <c r="R548" s="12" t="str">
        <f t="shared" si="115"/>
        <v>05</v>
      </c>
      <c r="S548" s="6" t="s">
        <v>129</v>
      </c>
      <c r="T548" s="1" t="s">
        <v>130</v>
      </c>
      <c r="U548" s="6" t="s">
        <v>154</v>
      </c>
      <c r="V548" s="1" t="s">
        <v>143</v>
      </c>
      <c r="W548" s="1" t="s">
        <v>133</v>
      </c>
      <c r="X548" s="5">
        <v>46220</v>
      </c>
      <c r="Y548" s="1">
        <f t="shared" si="116"/>
        <v>86</v>
      </c>
      <c r="Z548" s="5">
        <v>46220</v>
      </c>
      <c r="AA548" s="3"/>
      <c r="AB548" s="3"/>
      <c r="AD548" s="133" t="str">
        <f t="shared" si="107"/>
        <v>Closed In July</v>
      </c>
    </row>
    <row r="549" spans="1:30" hidden="1">
      <c r="A549" s="9">
        <v>46134</v>
      </c>
      <c r="B549" s="1">
        <v>2026</v>
      </c>
      <c r="C549" s="8" t="s">
        <v>26</v>
      </c>
      <c r="D549" s="11" t="s">
        <v>179</v>
      </c>
      <c r="E549" s="1"/>
      <c r="F549" s="1" t="s">
        <v>19</v>
      </c>
      <c r="G549" s="8" t="s">
        <v>180</v>
      </c>
      <c r="H549" s="8">
        <v>8248438488</v>
      </c>
      <c r="I549" s="10" t="s">
        <v>30</v>
      </c>
      <c r="J549" s="8" t="s">
        <v>181</v>
      </c>
      <c r="K549" s="8" t="s">
        <v>27</v>
      </c>
      <c r="L549" s="8" t="s">
        <v>28</v>
      </c>
      <c r="M549" s="2" t="s">
        <v>146</v>
      </c>
      <c r="N549" s="6" t="s">
        <v>138</v>
      </c>
      <c r="O549" s="11">
        <v>550</v>
      </c>
      <c r="P549" s="2" t="s">
        <v>761</v>
      </c>
      <c r="Q549" s="12" t="str">
        <f t="shared" si="114"/>
        <v>23</v>
      </c>
      <c r="R549" s="12" t="str">
        <f t="shared" si="115"/>
        <v>05</v>
      </c>
      <c r="S549" s="6" t="s">
        <v>129</v>
      </c>
      <c r="T549" s="1" t="s">
        <v>130</v>
      </c>
      <c r="U549" s="6" t="s">
        <v>148</v>
      </c>
      <c r="V549" s="1" t="s">
        <v>143</v>
      </c>
      <c r="W549" s="1" t="s">
        <v>133</v>
      </c>
      <c r="X549" s="5">
        <v>46220</v>
      </c>
      <c r="Y549" s="1">
        <f t="shared" si="116"/>
        <v>86</v>
      </c>
      <c r="Z549" s="5">
        <v>46220</v>
      </c>
      <c r="AA549" s="3"/>
      <c r="AB549" s="3"/>
      <c r="AD549" s="133" t="str">
        <f t="shared" si="107"/>
        <v>Closed In July</v>
      </c>
    </row>
    <row r="550" spans="1:30" hidden="1">
      <c r="A550" s="9">
        <v>46134</v>
      </c>
      <c r="B550" s="1">
        <v>2026</v>
      </c>
      <c r="C550" s="8" t="s">
        <v>26</v>
      </c>
      <c r="D550" s="11" t="s">
        <v>179</v>
      </c>
      <c r="E550" s="1"/>
      <c r="F550" s="1" t="s">
        <v>19</v>
      </c>
      <c r="G550" s="8" t="s">
        <v>180</v>
      </c>
      <c r="H550" s="8">
        <v>8248438488</v>
      </c>
      <c r="I550" s="10" t="s">
        <v>30</v>
      </c>
      <c r="J550" s="8" t="s">
        <v>181</v>
      </c>
      <c r="K550" s="8" t="s">
        <v>27</v>
      </c>
      <c r="L550" s="8" t="s">
        <v>28</v>
      </c>
      <c r="M550" s="2" t="s">
        <v>126</v>
      </c>
      <c r="N550" s="1" t="s">
        <v>127</v>
      </c>
      <c r="O550" s="11">
        <v>550</v>
      </c>
      <c r="P550" s="2" t="s">
        <v>762</v>
      </c>
      <c r="Q550" s="12" t="str">
        <f t="shared" si="114"/>
        <v>23</v>
      </c>
      <c r="R550" s="12" t="str">
        <f t="shared" si="115"/>
        <v>06</v>
      </c>
      <c r="S550" s="6" t="s">
        <v>129</v>
      </c>
      <c r="T550" s="1" t="s">
        <v>130</v>
      </c>
      <c r="U550" s="6" t="s">
        <v>145</v>
      </c>
      <c r="V550" s="6" t="s">
        <v>132</v>
      </c>
      <c r="W550" s="1" t="s">
        <v>133</v>
      </c>
      <c r="X550" s="5">
        <v>46220</v>
      </c>
      <c r="Y550" s="1">
        <f t="shared" si="116"/>
        <v>86</v>
      </c>
      <c r="Z550" s="5">
        <v>46220</v>
      </c>
      <c r="AA550" s="3"/>
      <c r="AB550" s="3"/>
      <c r="AD550" s="133" t="str">
        <f t="shared" si="107"/>
        <v>Closed In July</v>
      </c>
    </row>
    <row r="551" spans="1:30" hidden="1">
      <c r="A551" s="9">
        <v>46134</v>
      </c>
      <c r="B551" s="1">
        <v>2026</v>
      </c>
      <c r="C551" s="8" t="s">
        <v>26</v>
      </c>
      <c r="D551" s="11" t="s">
        <v>179</v>
      </c>
      <c r="E551" s="1"/>
      <c r="F551" s="1" t="s">
        <v>19</v>
      </c>
      <c r="G551" s="8" t="s">
        <v>180</v>
      </c>
      <c r="H551" s="8">
        <v>8248438488</v>
      </c>
      <c r="I551" s="10" t="s">
        <v>30</v>
      </c>
      <c r="J551" s="8" t="s">
        <v>181</v>
      </c>
      <c r="K551" s="8" t="s">
        <v>27</v>
      </c>
      <c r="L551" s="8" t="s">
        <v>28</v>
      </c>
      <c r="M551" s="2" t="s">
        <v>152</v>
      </c>
      <c r="N551" s="6" t="s">
        <v>138</v>
      </c>
      <c r="O551" s="11">
        <v>550</v>
      </c>
      <c r="P551" s="2" t="s">
        <v>763</v>
      </c>
      <c r="Q551" s="12" t="str">
        <f t="shared" si="114"/>
        <v>23</v>
      </c>
      <c r="R551" s="12" t="str">
        <f t="shared" si="115"/>
        <v>05</v>
      </c>
      <c r="S551" s="6" t="s">
        <v>129</v>
      </c>
      <c r="T551" s="1" t="s">
        <v>130</v>
      </c>
      <c r="U551" s="6" t="s">
        <v>154</v>
      </c>
      <c r="V551" s="1" t="s">
        <v>143</v>
      </c>
      <c r="W551" s="1" t="s">
        <v>133</v>
      </c>
      <c r="X551" s="5">
        <v>46220</v>
      </c>
      <c r="Y551" s="1">
        <f t="shared" si="116"/>
        <v>86</v>
      </c>
      <c r="Z551" s="5">
        <v>46220</v>
      </c>
      <c r="AA551" s="3"/>
      <c r="AB551" s="3"/>
      <c r="AD551" s="133" t="str">
        <f t="shared" si="107"/>
        <v>Closed In July</v>
      </c>
    </row>
    <row r="552" spans="1:30" hidden="1">
      <c r="A552" s="9">
        <v>46134</v>
      </c>
      <c r="B552" s="1">
        <v>2026</v>
      </c>
      <c r="C552" s="8" t="s">
        <v>26</v>
      </c>
      <c r="D552" s="11" t="s">
        <v>179</v>
      </c>
      <c r="E552" s="1"/>
      <c r="F552" s="1" t="s">
        <v>19</v>
      </c>
      <c r="G552" s="8" t="s">
        <v>180</v>
      </c>
      <c r="H552" s="8">
        <v>8248438488</v>
      </c>
      <c r="I552" s="10" t="s">
        <v>30</v>
      </c>
      <c r="J552" s="8" t="s">
        <v>181</v>
      </c>
      <c r="K552" s="8" t="s">
        <v>27</v>
      </c>
      <c r="L552" s="8" t="s">
        <v>28</v>
      </c>
      <c r="M552" s="2" t="s">
        <v>137</v>
      </c>
      <c r="N552" s="6" t="s">
        <v>138</v>
      </c>
      <c r="O552" s="11">
        <v>550</v>
      </c>
      <c r="P552" s="2" t="s">
        <v>764</v>
      </c>
      <c r="Q552" s="12" t="str">
        <f t="shared" si="114"/>
        <v>23</v>
      </c>
      <c r="R552" s="12" t="str">
        <f t="shared" si="115"/>
        <v>05</v>
      </c>
      <c r="S552" s="6" t="s">
        <v>129</v>
      </c>
      <c r="T552" s="1" t="s">
        <v>130</v>
      </c>
      <c r="U552" s="6" t="s">
        <v>142</v>
      </c>
      <c r="V552" s="1" t="s">
        <v>143</v>
      </c>
      <c r="W552" s="1" t="s">
        <v>133</v>
      </c>
      <c r="X552" s="5">
        <v>46220</v>
      </c>
      <c r="Y552" s="1">
        <f t="shared" si="116"/>
        <v>86</v>
      </c>
      <c r="Z552" s="5">
        <v>46220</v>
      </c>
      <c r="AA552" s="3"/>
      <c r="AB552" s="3"/>
      <c r="AD552" s="133" t="str">
        <f t="shared" si="107"/>
        <v>Closed In July</v>
      </c>
    </row>
    <row r="553" spans="1:30" hidden="1">
      <c r="A553" s="9">
        <v>46134</v>
      </c>
      <c r="B553" s="1">
        <v>2026</v>
      </c>
      <c r="C553" s="8" t="s">
        <v>26</v>
      </c>
      <c r="D553" s="11" t="s">
        <v>179</v>
      </c>
      <c r="E553" s="1"/>
      <c r="F553" s="1" t="s">
        <v>19</v>
      </c>
      <c r="G553" s="8" t="s">
        <v>180</v>
      </c>
      <c r="H553" s="8">
        <v>8248438488</v>
      </c>
      <c r="I553" s="10" t="s">
        <v>30</v>
      </c>
      <c r="J553" s="8" t="s">
        <v>181</v>
      </c>
      <c r="K553" s="8" t="s">
        <v>27</v>
      </c>
      <c r="L553" s="8" t="s">
        <v>28</v>
      </c>
      <c r="M553" s="2" t="s">
        <v>137</v>
      </c>
      <c r="N553" s="6" t="s">
        <v>138</v>
      </c>
      <c r="O553" s="11">
        <v>550</v>
      </c>
      <c r="P553" s="2" t="s">
        <v>765</v>
      </c>
      <c r="Q553" s="12" t="str">
        <f t="shared" si="114"/>
        <v>23</v>
      </c>
      <c r="R553" s="12" t="str">
        <f t="shared" si="115"/>
        <v>05</v>
      </c>
      <c r="S553" s="6" t="s">
        <v>129</v>
      </c>
      <c r="T553" s="1" t="s">
        <v>130</v>
      </c>
      <c r="U553" s="6" t="s">
        <v>142</v>
      </c>
      <c r="V553" s="1" t="s">
        <v>143</v>
      </c>
      <c r="W553" s="1" t="s">
        <v>133</v>
      </c>
      <c r="X553" s="5">
        <v>46220</v>
      </c>
      <c r="Y553" s="1">
        <f t="shared" si="116"/>
        <v>86</v>
      </c>
      <c r="Z553" s="5">
        <v>46220</v>
      </c>
      <c r="AA553" s="3"/>
      <c r="AB553" s="3"/>
      <c r="AD553" s="133" t="str">
        <f t="shared" si="107"/>
        <v>Closed In July</v>
      </c>
    </row>
    <row r="554" spans="1:30" hidden="1">
      <c r="A554" s="9">
        <v>46134</v>
      </c>
      <c r="B554" s="1">
        <v>2026</v>
      </c>
      <c r="C554" s="8" t="s">
        <v>26</v>
      </c>
      <c r="D554" s="11" t="s">
        <v>179</v>
      </c>
      <c r="E554" s="1"/>
      <c r="F554" s="1" t="s">
        <v>19</v>
      </c>
      <c r="G554" s="8" t="s">
        <v>180</v>
      </c>
      <c r="H554" s="8">
        <v>8248438488</v>
      </c>
      <c r="I554" s="10" t="s">
        <v>30</v>
      </c>
      <c r="J554" s="8" t="s">
        <v>181</v>
      </c>
      <c r="K554" s="8" t="s">
        <v>27</v>
      </c>
      <c r="L554" s="8" t="s">
        <v>28</v>
      </c>
      <c r="M554" s="2" t="s">
        <v>137</v>
      </c>
      <c r="N554" s="6" t="s">
        <v>138</v>
      </c>
      <c r="O554" s="11">
        <v>550</v>
      </c>
      <c r="P554" s="2" t="s">
        <v>766</v>
      </c>
      <c r="Q554" s="12" t="str">
        <f t="shared" si="114"/>
        <v>23</v>
      </c>
      <c r="R554" s="12" t="str">
        <f t="shared" si="115"/>
        <v>05</v>
      </c>
      <c r="S554" s="6" t="s">
        <v>129</v>
      </c>
      <c r="T554" s="1" t="s">
        <v>130</v>
      </c>
      <c r="U554" s="6" t="s">
        <v>142</v>
      </c>
      <c r="V554" s="1" t="s">
        <v>143</v>
      </c>
      <c r="W554" s="1" t="s">
        <v>133</v>
      </c>
      <c r="X554" s="5">
        <v>46220</v>
      </c>
      <c r="Y554" s="1">
        <f t="shared" si="116"/>
        <v>86</v>
      </c>
      <c r="Z554" s="5">
        <v>46220</v>
      </c>
      <c r="AA554" s="3"/>
      <c r="AB554" s="3"/>
      <c r="AD554" s="133" t="str">
        <f t="shared" si="107"/>
        <v>Closed In July</v>
      </c>
    </row>
    <row r="555" spans="1:30" hidden="1">
      <c r="A555" s="9">
        <v>46134</v>
      </c>
      <c r="B555" s="1">
        <v>2026</v>
      </c>
      <c r="C555" s="8" t="s">
        <v>26</v>
      </c>
      <c r="D555" s="11" t="s">
        <v>179</v>
      </c>
      <c r="E555" s="1"/>
      <c r="F555" s="1" t="s">
        <v>19</v>
      </c>
      <c r="G555" s="8" t="s">
        <v>180</v>
      </c>
      <c r="H555" s="8">
        <v>8248438488</v>
      </c>
      <c r="I555" s="10" t="s">
        <v>30</v>
      </c>
      <c r="J555" s="8" t="s">
        <v>181</v>
      </c>
      <c r="K555" s="8" t="s">
        <v>27</v>
      </c>
      <c r="L555" s="8" t="s">
        <v>28</v>
      </c>
      <c r="M555" s="2" t="s">
        <v>146</v>
      </c>
      <c r="N555" s="6" t="s">
        <v>138</v>
      </c>
      <c r="O555" s="11">
        <v>550</v>
      </c>
      <c r="P555" s="2" t="s">
        <v>767</v>
      </c>
      <c r="Q555" s="12" t="str">
        <f t="shared" si="114"/>
        <v>23</v>
      </c>
      <c r="R555" s="12" t="str">
        <f t="shared" si="115"/>
        <v>05</v>
      </c>
      <c r="S555" s="6" t="s">
        <v>129</v>
      </c>
      <c r="T555" s="1" t="s">
        <v>130</v>
      </c>
      <c r="U555" s="6" t="s">
        <v>148</v>
      </c>
      <c r="V555" s="1" t="s">
        <v>143</v>
      </c>
      <c r="W555" s="1" t="s">
        <v>133</v>
      </c>
      <c r="X555" s="5">
        <v>46220</v>
      </c>
      <c r="Y555" s="1">
        <f t="shared" si="116"/>
        <v>86</v>
      </c>
      <c r="Z555" s="5">
        <v>46220</v>
      </c>
      <c r="AA555" s="3"/>
      <c r="AB555" s="3"/>
      <c r="AD555" s="133" t="str">
        <f t="shared" si="107"/>
        <v>Closed In July</v>
      </c>
    </row>
    <row r="556" spans="1:30" hidden="1">
      <c r="A556" s="9">
        <v>46134</v>
      </c>
      <c r="B556" s="1">
        <v>2026</v>
      </c>
      <c r="C556" s="8" t="s">
        <v>26</v>
      </c>
      <c r="D556" s="11" t="s">
        <v>179</v>
      </c>
      <c r="E556" s="1"/>
      <c r="F556" s="1" t="s">
        <v>19</v>
      </c>
      <c r="G556" s="8" t="s">
        <v>180</v>
      </c>
      <c r="H556" s="8">
        <v>8248438488</v>
      </c>
      <c r="I556" s="10" t="s">
        <v>30</v>
      </c>
      <c r="J556" s="8" t="s">
        <v>181</v>
      </c>
      <c r="K556" s="8" t="s">
        <v>27</v>
      </c>
      <c r="L556" s="8" t="s">
        <v>28</v>
      </c>
      <c r="M556" s="2" t="s">
        <v>146</v>
      </c>
      <c r="N556" s="6" t="s">
        <v>138</v>
      </c>
      <c r="O556" s="11">
        <v>550</v>
      </c>
      <c r="P556" s="2" t="s">
        <v>768</v>
      </c>
      <c r="Q556" s="12" t="str">
        <f t="shared" si="114"/>
        <v>23</v>
      </c>
      <c r="R556" s="12" t="str">
        <f t="shared" si="115"/>
        <v>05</v>
      </c>
      <c r="S556" s="6" t="s">
        <v>129</v>
      </c>
      <c r="T556" s="1" t="s">
        <v>130</v>
      </c>
      <c r="U556" s="6" t="s">
        <v>148</v>
      </c>
      <c r="V556" s="1" t="s">
        <v>143</v>
      </c>
      <c r="W556" s="1" t="s">
        <v>133</v>
      </c>
      <c r="X556" s="5">
        <v>46220</v>
      </c>
      <c r="Y556" s="1">
        <f t="shared" si="116"/>
        <v>86</v>
      </c>
      <c r="Z556" s="5">
        <v>46220</v>
      </c>
      <c r="AA556" s="3"/>
      <c r="AB556" s="3"/>
      <c r="AD556" s="133" t="str">
        <f t="shared" si="107"/>
        <v>Closed In July</v>
      </c>
    </row>
    <row r="557" spans="1:30" hidden="1">
      <c r="A557" s="9">
        <v>46134</v>
      </c>
      <c r="B557" s="1">
        <v>2026</v>
      </c>
      <c r="C557" s="8" t="s">
        <v>26</v>
      </c>
      <c r="D557" s="11" t="s">
        <v>179</v>
      </c>
      <c r="E557" s="1"/>
      <c r="F557" s="1" t="s">
        <v>19</v>
      </c>
      <c r="G557" s="8" t="s">
        <v>180</v>
      </c>
      <c r="H557" s="8">
        <v>8248438488</v>
      </c>
      <c r="I557" s="10" t="s">
        <v>30</v>
      </c>
      <c r="J557" s="8" t="s">
        <v>181</v>
      </c>
      <c r="K557" s="8" t="s">
        <v>27</v>
      </c>
      <c r="L557" s="8" t="s">
        <v>28</v>
      </c>
      <c r="M557" s="2" t="s">
        <v>146</v>
      </c>
      <c r="N557" s="6" t="s">
        <v>138</v>
      </c>
      <c r="O557" s="11">
        <v>550</v>
      </c>
      <c r="P557" s="2" t="s">
        <v>769</v>
      </c>
      <c r="Q557" s="12" t="str">
        <f t="shared" si="114"/>
        <v>23</v>
      </c>
      <c r="R557" s="12" t="str">
        <f t="shared" si="115"/>
        <v>05</v>
      </c>
      <c r="S557" s="6" t="s">
        <v>129</v>
      </c>
      <c r="T557" s="1" t="s">
        <v>130</v>
      </c>
      <c r="U557" s="6" t="s">
        <v>148</v>
      </c>
      <c r="V557" s="1" t="s">
        <v>143</v>
      </c>
      <c r="W557" s="1" t="s">
        <v>133</v>
      </c>
      <c r="X557" s="5">
        <v>46220</v>
      </c>
      <c r="Y557" s="1">
        <f t="shared" si="116"/>
        <v>86</v>
      </c>
      <c r="Z557" s="5">
        <v>46220</v>
      </c>
      <c r="AA557" s="3"/>
      <c r="AB557" s="3"/>
      <c r="AD557" s="133" t="str">
        <f t="shared" si="107"/>
        <v>Closed In July</v>
      </c>
    </row>
    <row r="558" spans="1:30" hidden="1">
      <c r="A558" s="9">
        <v>46134</v>
      </c>
      <c r="B558" s="1">
        <v>2026</v>
      </c>
      <c r="C558" s="8" t="s">
        <v>26</v>
      </c>
      <c r="D558" s="11" t="s">
        <v>179</v>
      </c>
      <c r="E558" s="1"/>
      <c r="F558" s="1" t="s">
        <v>19</v>
      </c>
      <c r="G558" s="8" t="s">
        <v>180</v>
      </c>
      <c r="H558" s="8">
        <v>8248438488</v>
      </c>
      <c r="I558" s="10" t="s">
        <v>30</v>
      </c>
      <c r="J558" s="8" t="s">
        <v>181</v>
      </c>
      <c r="K558" s="8" t="s">
        <v>27</v>
      </c>
      <c r="L558" s="8" t="s">
        <v>28</v>
      </c>
      <c r="M558" s="2" t="s">
        <v>146</v>
      </c>
      <c r="N558" s="6" t="s">
        <v>138</v>
      </c>
      <c r="O558" s="11">
        <v>550</v>
      </c>
      <c r="P558" s="2" t="s">
        <v>770</v>
      </c>
      <c r="Q558" s="12" t="str">
        <f t="shared" si="114"/>
        <v>23</v>
      </c>
      <c r="R558" s="12" t="str">
        <f t="shared" si="115"/>
        <v>05</v>
      </c>
      <c r="S558" s="6" t="s">
        <v>129</v>
      </c>
      <c r="T558" s="1" t="s">
        <v>130</v>
      </c>
      <c r="U558" s="6" t="s">
        <v>148</v>
      </c>
      <c r="V558" s="1" t="s">
        <v>143</v>
      </c>
      <c r="W558" s="1" t="s">
        <v>133</v>
      </c>
      <c r="X558" s="5">
        <v>46220</v>
      </c>
      <c r="Y558" s="1">
        <f t="shared" si="116"/>
        <v>86</v>
      </c>
      <c r="Z558" s="5">
        <v>46220</v>
      </c>
      <c r="AA558" s="3"/>
      <c r="AB558" s="3"/>
      <c r="AD558" s="133" t="str">
        <f t="shared" si="107"/>
        <v>Closed In July</v>
      </c>
    </row>
    <row r="559" spans="1:30" hidden="1">
      <c r="A559" s="9">
        <v>46134</v>
      </c>
      <c r="B559" s="1">
        <v>2026</v>
      </c>
      <c r="C559" s="8" t="s">
        <v>26</v>
      </c>
      <c r="D559" s="11" t="s">
        <v>179</v>
      </c>
      <c r="E559" s="1"/>
      <c r="F559" s="1" t="s">
        <v>19</v>
      </c>
      <c r="G559" s="8" t="s">
        <v>180</v>
      </c>
      <c r="H559" s="8">
        <v>8248438488</v>
      </c>
      <c r="I559" s="10" t="s">
        <v>30</v>
      </c>
      <c r="J559" s="8" t="s">
        <v>181</v>
      </c>
      <c r="K559" s="8" t="s">
        <v>27</v>
      </c>
      <c r="L559" s="8" t="s">
        <v>28</v>
      </c>
      <c r="M559" s="2" t="s">
        <v>146</v>
      </c>
      <c r="N559" s="6" t="s">
        <v>138</v>
      </c>
      <c r="O559" s="11">
        <v>550</v>
      </c>
      <c r="P559" s="2" t="s">
        <v>771</v>
      </c>
      <c r="Q559" s="12" t="str">
        <f t="shared" si="114"/>
        <v>23</v>
      </c>
      <c r="R559" s="12" t="str">
        <f t="shared" si="115"/>
        <v>05</v>
      </c>
      <c r="S559" s="6" t="s">
        <v>129</v>
      </c>
      <c r="T559" s="1" t="s">
        <v>130</v>
      </c>
      <c r="U559" s="6" t="s">
        <v>148</v>
      </c>
      <c r="V559" s="1" t="s">
        <v>143</v>
      </c>
      <c r="W559" s="1" t="s">
        <v>133</v>
      </c>
      <c r="X559" s="5">
        <v>46220</v>
      </c>
      <c r="Y559" s="1">
        <f t="shared" si="116"/>
        <v>86</v>
      </c>
      <c r="Z559" s="5">
        <v>46220</v>
      </c>
      <c r="AA559" s="3"/>
      <c r="AB559" s="3"/>
      <c r="AD559" s="133" t="str">
        <f t="shared" si="107"/>
        <v>Closed In July</v>
      </c>
    </row>
    <row r="560" spans="1:30" hidden="1">
      <c r="A560" s="21">
        <v>46220</v>
      </c>
      <c r="B560" s="1">
        <v>2026</v>
      </c>
      <c r="C560" s="6" t="s">
        <v>1201</v>
      </c>
      <c r="D560" s="34" t="s">
        <v>123</v>
      </c>
      <c r="E560" s="1"/>
      <c r="F560" s="1" t="s">
        <v>19</v>
      </c>
      <c r="G560" s="44" t="s">
        <v>772</v>
      </c>
      <c r="H560" s="41">
        <v>9819889031</v>
      </c>
      <c r="I560" s="42" t="s">
        <v>76</v>
      </c>
      <c r="J560" s="8" t="s">
        <v>773</v>
      </c>
      <c r="K560" s="8" t="s">
        <v>73</v>
      </c>
      <c r="L560" s="8" t="s">
        <v>74</v>
      </c>
      <c r="M560" s="2" t="s">
        <v>137</v>
      </c>
      <c r="N560" s="6" t="s">
        <v>138</v>
      </c>
      <c r="O560" s="18">
        <v>550</v>
      </c>
      <c r="P560" s="2" t="s">
        <v>774</v>
      </c>
      <c r="Q560" s="12" t="str">
        <f t="shared" ref="Q560:Q561" si="117">MID(P560,5,2)</f>
        <v>23</v>
      </c>
      <c r="R560" s="12" t="str">
        <f t="shared" ref="R560:R561" si="118">MID(P560,7,2)</f>
        <v>09</v>
      </c>
      <c r="S560" s="6" t="s">
        <v>129</v>
      </c>
      <c r="T560" s="1" t="s">
        <v>130</v>
      </c>
      <c r="U560" s="6" t="s">
        <v>142</v>
      </c>
      <c r="V560" s="1" t="s">
        <v>143</v>
      </c>
      <c r="W560" s="1" t="s">
        <v>133</v>
      </c>
      <c r="X560" s="5">
        <v>46221</v>
      </c>
      <c r="Y560" s="1">
        <f t="shared" si="116"/>
        <v>1</v>
      </c>
      <c r="Z560" s="5">
        <v>46221</v>
      </c>
      <c r="AA560" s="3"/>
      <c r="AB560" s="3"/>
      <c r="AD560" s="133" t="str">
        <f t="shared" si="107"/>
        <v>Closed In July</v>
      </c>
    </row>
    <row r="561" spans="1:30" hidden="1">
      <c r="A561" s="21">
        <v>46206</v>
      </c>
      <c r="B561" s="1">
        <v>2026</v>
      </c>
      <c r="C561" s="8" t="s">
        <v>43</v>
      </c>
      <c r="D561" s="8" t="s">
        <v>459</v>
      </c>
      <c r="E561" s="1"/>
      <c r="F561" s="1" t="s">
        <v>19</v>
      </c>
      <c r="G561" s="8" t="s">
        <v>497</v>
      </c>
      <c r="H561" s="8">
        <v>7719846027</v>
      </c>
      <c r="I561" s="10" t="s">
        <v>80</v>
      </c>
      <c r="J561" s="8" t="s">
        <v>125</v>
      </c>
      <c r="K561" s="8" t="s">
        <v>77</v>
      </c>
      <c r="L561" s="8" t="s">
        <v>78</v>
      </c>
      <c r="M561" s="2" t="s">
        <v>137</v>
      </c>
      <c r="N561" s="6" t="s">
        <v>138</v>
      </c>
      <c r="O561" s="18">
        <v>550</v>
      </c>
      <c r="P561" s="29" t="s">
        <v>775</v>
      </c>
      <c r="Q561" s="12" t="str">
        <f t="shared" si="117"/>
        <v>23</v>
      </c>
      <c r="R561" s="12" t="str">
        <f t="shared" si="118"/>
        <v>04</v>
      </c>
      <c r="S561" s="43" t="s">
        <v>464</v>
      </c>
      <c r="T561" s="1" t="s">
        <v>130</v>
      </c>
      <c r="U561" s="6" t="s">
        <v>142</v>
      </c>
      <c r="V561" s="1" t="s">
        <v>143</v>
      </c>
      <c r="W561" s="1" t="s">
        <v>133</v>
      </c>
      <c r="X561" s="5">
        <v>46223</v>
      </c>
      <c r="Y561" s="1">
        <f t="shared" si="116"/>
        <v>17</v>
      </c>
      <c r="Z561" s="5">
        <v>46223</v>
      </c>
      <c r="AA561" s="3"/>
      <c r="AB561" s="3"/>
      <c r="AD561" s="133" t="str">
        <f t="shared" si="107"/>
        <v>Closed In July</v>
      </c>
    </row>
    <row r="562" spans="1:30" hidden="1">
      <c r="A562" s="21">
        <v>46206</v>
      </c>
      <c r="B562" s="1">
        <v>2026</v>
      </c>
      <c r="C562" s="8" t="s">
        <v>43</v>
      </c>
      <c r="D562" s="8" t="s">
        <v>459</v>
      </c>
      <c r="E562" s="1"/>
      <c r="F562" s="1" t="s">
        <v>19</v>
      </c>
      <c r="G562" s="8" t="s">
        <v>497</v>
      </c>
      <c r="H562" s="8">
        <v>7719846027</v>
      </c>
      <c r="I562" s="10" t="s">
        <v>80</v>
      </c>
      <c r="J562" s="8" t="s">
        <v>125</v>
      </c>
      <c r="K562" s="8" t="s">
        <v>77</v>
      </c>
      <c r="L562" s="8" t="s">
        <v>78</v>
      </c>
      <c r="M562" s="2" t="s">
        <v>137</v>
      </c>
      <c r="N562" s="6" t="s">
        <v>138</v>
      </c>
      <c r="O562" s="18">
        <v>550</v>
      </c>
      <c r="P562" s="29" t="s">
        <v>776</v>
      </c>
      <c r="Q562" s="12" t="str">
        <f t="shared" ref="Q562" si="119">MID(P562,5,2)</f>
        <v>23</v>
      </c>
      <c r="R562" s="12" t="str">
        <f t="shared" ref="R562" si="120">MID(P562,7,2)</f>
        <v>04</v>
      </c>
      <c r="S562" s="43" t="s">
        <v>464</v>
      </c>
      <c r="T562" s="1" t="s">
        <v>130</v>
      </c>
      <c r="U562" s="6" t="s">
        <v>142</v>
      </c>
      <c r="V562" s="1" t="s">
        <v>143</v>
      </c>
      <c r="W562" s="1" t="s">
        <v>133</v>
      </c>
      <c r="X562" s="5">
        <v>46223</v>
      </c>
      <c r="Y562" s="1">
        <f t="shared" ref="Y562" si="121">X562-A562</f>
        <v>17</v>
      </c>
      <c r="Z562" s="5">
        <v>46223</v>
      </c>
      <c r="AA562" s="3"/>
      <c r="AB562" s="3"/>
      <c r="AD562" s="133" t="str">
        <f t="shared" si="107"/>
        <v>Closed In July</v>
      </c>
    </row>
    <row r="563" spans="1:30" hidden="1">
      <c r="A563" s="21">
        <v>46218</v>
      </c>
      <c r="B563" s="1">
        <v>2026</v>
      </c>
      <c r="C563" s="8" t="s">
        <v>43</v>
      </c>
      <c r="D563" s="8" t="s">
        <v>459</v>
      </c>
      <c r="E563" s="1"/>
      <c r="F563" s="1" t="s">
        <v>19</v>
      </c>
      <c r="G563" s="8" t="s">
        <v>497</v>
      </c>
      <c r="H563" s="8">
        <v>7719846027</v>
      </c>
      <c r="I563" s="42" t="s">
        <v>81</v>
      </c>
      <c r="J563" s="8" t="s">
        <v>125</v>
      </c>
      <c r="K563" s="8" t="s">
        <v>77</v>
      </c>
      <c r="L563" s="8" t="s">
        <v>78</v>
      </c>
      <c r="M563" s="2" t="s">
        <v>146</v>
      </c>
      <c r="N563" s="6" t="s">
        <v>138</v>
      </c>
      <c r="O563" s="18">
        <v>550</v>
      </c>
      <c r="P563" s="2" t="s">
        <v>777</v>
      </c>
      <c r="Q563" s="12" t="str">
        <f t="shared" ref="Q563:Q564" si="122">MID(P563,5,2)</f>
        <v>23</v>
      </c>
      <c r="R563" s="12" t="str">
        <f t="shared" ref="R563:R564" si="123">MID(P563,7,2)</f>
        <v>03</v>
      </c>
      <c r="S563" s="8" t="s">
        <v>464</v>
      </c>
      <c r="T563" s="1" t="s">
        <v>130</v>
      </c>
      <c r="U563" s="6" t="s">
        <v>148</v>
      </c>
      <c r="V563" s="1" t="s">
        <v>143</v>
      </c>
      <c r="W563" s="1" t="s">
        <v>133</v>
      </c>
      <c r="X563" s="5">
        <v>46223</v>
      </c>
      <c r="Y563" s="1">
        <f t="shared" ref="Y563:Y564" si="124">X563-A563</f>
        <v>5</v>
      </c>
      <c r="Z563" s="5">
        <v>46223</v>
      </c>
      <c r="AA563" s="15"/>
      <c r="AB563" s="15"/>
      <c r="AD563" s="133" t="str">
        <f t="shared" si="107"/>
        <v>Closed In July</v>
      </c>
    </row>
    <row r="564" spans="1:30" hidden="1">
      <c r="A564" s="9">
        <v>46134</v>
      </c>
      <c r="B564" s="1">
        <v>2026</v>
      </c>
      <c r="C564" s="8" t="s">
        <v>26</v>
      </c>
      <c r="D564" s="11" t="s">
        <v>179</v>
      </c>
      <c r="E564" s="1"/>
      <c r="F564" s="1" t="s">
        <v>19</v>
      </c>
      <c r="G564" s="8" t="s">
        <v>180</v>
      </c>
      <c r="H564" s="8">
        <v>8248438488</v>
      </c>
      <c r="I564" s="10" t="s">
        <v>30</v>
      </c>
      <c r="J564" s="8" t="s">
        <v>181</v>
      </c>
      <c r="K564" s="8" t="s">
        <v>27</v>
      </c>
      <c r="L564" s="8" t="s">
        <v>28</v>
      </c>
      <c r="M564" s="2" t="s">
        <v>146</v>
      </c>
      <c r="N564" s="6" t="s">
        <v>138</v>
      </c>
      <c r="O564" s="11">
        <v>550</v>
      </c>
      <c r="P564" s="2" t="s">
        <v>778</v>
      </c>
      <c r="Q564" s="12" t="str">
        <f t="shared" si="122"/>
        <v>23</v>
      </c>
      <c r="R564" s="12" t="str">
        <f t="shared" si="123"/>
        <v>05</v>
      </c>
      <c r="S564" s="6" t="s">
        <v>129</v>
      </c>
      <c r="T564" s="1" t="s">
        <v>130</v>
      </c>
      <c r="U564" s="6" t="s">
        <v>148</v>
      </c>
      <c r="V564" s="1" t="s">
        <v>143</v>
      </c>
      <c r="W564" s="1" t="s">
        <v>133</v>
      </c>
      <c r="X564" s="5">
        <v>46224</v>
      </c>
      <c r="Y564" s="1">
        <f t="shared" si="124"/>
        <v>90</v>
      </c>
      <c r="Z564" s="5">
        <v>46224</v>
      </c>
      <c r="AA564" s="3"/>
      <c r="AB564" s="3"/>
      <c r="AD564" s="133" t="str">
        <f t="shared" si="107"/>
        <v>Closed In July</v>
      </c>
    </row>
    <row r="565" spans="1:30" hidden="1">
      <c r="A565" s="9">
        <v>46134</v>
      </c>
      <c r="B565" s="1">
        <v>2026</v>
      </c>
      <c r="C565" s="8" t="s">
        <v>26</v>
      </c>
      <c r="D565" s="11" t="s">
        <v>179</v>
      </c>
      <c r="E565" s="1"/>
      <c r="F565" s="1" t="s">
        <v>19</v>
      </c>
      <c r="G565" s="8" t="s">
        <v>180</v>
      </c>
      <c r="H565" s="8">
        <v>8248438488</v>
      </c>
      <c r="I565" s="10" t="s">
        <v>30</v>
      </c>
      <c r="J565" s="8" t="s">
        <v>181</v>
      </c>
      <c r="K565" s="8" t="s">
        <v>27</v>
      </c>
      <c r="L565" s="8" t="s">
        <v>28</v>
      </c>
      <c r="M565" s="2" t="s">
        <v>146</v>
      </c>
      <c r="N565" s="6" t="s">
        <v>138</v>
      </c>
      <c r="O565" s="11">
        <v>550</v>
      </c>
      <c r="P565" s="2" t="s">
        <v>779</v>
      </c>
      <c r="Q565" s="12" t="str">
        <f t="shared" ref="Q565:Q594" si="125">MID(P565,5,2)</f>
        <v>23</v>
      </c>
      <c r="R565" s="12" t="str">
        <f t="shared" ref="R565:R594" si="126">MID(P565,7,2)</f>
        <v>05</v>
      </c>
      <c r="S565" s="6" t="s">
        <v>129</v>
      </c>
      <c r="T565" s="1" t="s">
        <v>130</v>
      </c>
      <c r="U565" s="6" t="s">
        <v>148</v>
      </c>
      <c r="V565" s="1" t="s">
        <v>143</v>
      </c>
      <c r="W565" s="1" t="s">
        <v>133</v>
      </c>
      <c r="X565" s="5">
        <v>46224</v>
      </c>
      <c r="Y565" s="1">
        <f t="shared" ref="Y565:Y594" si="127">X565-A565</f>
        <v>90</v>
      </c>
      <c r="Z565" s="5">
        <v>46224</v>
      </c>
      <c r="AA565" s="3"/>
      <c r="AB565" s="3"/>
      <c r="AD565" s="133" t="str">
        <f t="shared" si="107"/>
        <v>Closed In July</v>
      </c>
    </row>
    <row r="566" spans="1:30" hidden="1">
      <c r="A566" s="9">
        <v>46134</v>
      </c>
      <c r="B566" s="1">
        <v>2026</v>
      </c>
      <c r="C566" s="8" t="s">
        <v>26</v>
      </c>
      <c r="D566" s="11" t="s">
        <v>179</v>
      </c>
      <c r="E566" s="1"/>
      <c r="F566" s="1" t="s">
        <v>19</v>
      </c>
      <c r="G566" s="8" t="s">
        <v>180</v>
      </c>
      <c r="H566" s="8">
        <v>8248438488</v>
      </c>
      <c r="I566" s="10" t="s">
        <v>30</v>
      </c>
      <c r="J566" s="8" t="s">
        <v>181</v>
      </c>
      <c r="K566" s="8" t="s">
        <v>27</v>
      </c>
      <c r="L566" s="8" t="s">
        <v>28</v>
      </c>
      <c r="M566" s="2" t="s">
        <v>146</v>
      </c>
      <c r="N566" s="6" t="s">
        <v>138</v>
      </c>
      <c r="O566" s="11">
        <v>550</v>
      </c>
      <c r="P566" s="2" t="s">
        <v>780</v>
      </c>
      <c r="Q566" s="12" t="str">
        <f t="shared" si="125"/>
        <v>23</v>
      </c>
      <c r="R566" s="12" t="str">
        <f t="shared" si="126"/>
        <v>05</v>
      </c>
      <c r="S566" s="6" t="s">
        <v>129</v>
      </c>
      <c r="T566" s="1" t="s">
        <v>130</v>
      </c>
      <c r="U566" s="6" t="s">
        <v>148</v>
      </c>
      <c r="V566" s="1" t="s">
        <v>143</v>
      </c>
      <c r="W566" s="1" t="s">
        <v>133</v>
      </c>
      <c r="X566" s="5">
        <v>46224</v>
      </c>
      <c r="Y566" s="1">
        <f t="shared" si="127"/>
        <v>90</v>
      </c>
      <c r="Z566" s="5">
        <v>46224</v>
      </c>
      <c r="AA566" s="3"/>
      <c r="AB566" s="3"/>
      <c r="AD566" s="133" t="str">
        <f t="shared" si="107"/>
        <v>Closed In July</v>
      </c>
    </row>
    <row r="567" spans="1:30" hidden="1">
      <c r="A567" s="9">
        <v>46134</v>
      </c>
      <c r="B567" s="1">
        <v>2026</v>
      </c>
      <c r="C567" s="8" t="s">
        <v>26</v>
      </c>
      <c r="D567" s="11" t="s">
        <v>179</v>
      </c>
      <c r="E567" s="1"/>
      <c r="F567" s="1" t="s">
        <v>19</v>
      </c>
      <c r="G567" s="8" t="s">
        <v>180</v>
      </c>
      <c r="H567" s="8">
        <v>8248438488</v>
      </c>
      <c r="I567" s="10" t="s">
        <v>30</v>
      </c>
      <c r="J567" s="8" t="s">
        <v>181</v>
      </c>
      <c r="K567" s="8" t="s">
        <v>27</v>
      </c>
      <c r="L567" s="8" t="s">
        <v>28</v>
      </c>
      <c r="M567" s="2" t="s">
        <v>146</v>
      </c>
      <c r="N567" s="6" t="s">
        <v>138</v>
      </c>
      <c r="O567" s="11">
        <v>550</v>
      </c>
      <c r="P567" s="2" t="s">
        <v>781</v>
      </c>
      <c r="Q567" s="12" t="str">
        <f t="shared" si="125"/>
        <v>23</v>
      </c>
      <c r="R567" s="12" t="str">
        <f t="shared" si="126"/>
        <v>06</v>
      </c>
      <c r="S567" s="6" t="s">
        <v>129</v>
      </c>
      <c r="T567" s="1" t="s">
        <v>130</v>
      </c>
      <c r="U567" s="6" t="s">
        <v>148</v>
      </c>
      <c r="V567" s="1" t="s">
        <v>143</v>
      </c>
      <c r="W567" s="1" t="s">
        <v>133</v>
      </c>
      <c r="X567" s="5">
        <v>46224</v>
      </c>
      <c r="Y567" s="1">
        <f t="shared" si="127"/>
        <v>90</v>
      </c>
      <c r="Z567" s="5">
        <v>46224</v>
      </c>
      <c r="AA567" s="3"/>
      <c r="AB567" s="3"/>
      <c r="AD567" s="133" t="str">
        <f t="shared" si="107"/>
        <v>Closed In July</v>
      </c>
    </row>
    <row r="568" spans="1:30" hidden="1">
      <c r="A568" s="9">
        <v>46134</v>
      </c>
      <c r="B568" s="1">
        <v>2026</v>
      </c>
      <c r="C568" s="8" t="s">
        <v>26</v>
      </c>
      <c r="D568" s="11" t="s">
        <v>179</v>
      </c>
      <c r="E568" s="1"/>
      <c r="F568" s="1" t="s">
        <v>19</v>
      </c>
      <c r="G568" s="8" t="s">
        <v>180</v>
      </c>
      <c r="H568" s="8">
        <v>8248438488</v>
      </c>
      <c r="I568" s="10" t="s">
        <v>30</v>
      </c>
      <c r="J568" s="8" t="s">
        <v>181</v>
      </c>
      <c r="K568" s="8" t="s">
        <v>27</v>
      </c>
      <c r="L568" s="8" t="s">
        <v>28</v>
      </c>
      <c r="M568" s="2" t="s">
        <v>146</v>
      </c>
      <c r="N568" s="6" t="s">
        <v>138</v>
      </c>
      <c r="O568" s="11">
        <v>550</v>
      </c>
      <c r="P568" s="2" t="s">
        <v>782</v>
      </c>
      <c r="Q568" s="12" t="str">
        <f t="shared" si="125"/>
        <v>23</v>
      </c>
      <c r="R568" s="12" t="str">
        <f t="shared" si="126"/>
        <v>05</v>
      </c>
      <c r="S568" s="6" t="s">
        <v>129</v>
      </c>
      <c r="T568" s="1" t="s">
        <v>130</v>
      </c>
      <c r="U568" s="6" t="s">
        <v>148</v>
      </c>
      <c r="V568" s="1" t="s">
        <v>143</v>
      </c>
      <c r="W568" s="1" t="s">
        <v>133</v>
      </c>
      <c r="X568" s="5">
        <v>46224</v>
      </c>
      <c r="Y568" s="1">
        <f t="shared" si="127"/>
        <v>90</v>
      </c>
      <c r="Z568" s="5">
        <v>46224</v>
      </c>
      <c r="AA568" s="3"/>
      <c r="AB568" s="3"/>
      <c r="AD568" s="133" t="str">
        <f t="shared" si="107"/>
        <v>Closed In July</v>
      </c>
    </row>
    <row r="569" spans="1:30" hidden="1">
      <c r="A569" s="9">
        <v>46134</v>
      </c>
      <c r="B569" s="1">
        <v>2026</v>
      </c>
      <c r="C569" s="8" t="s">
        <v>26</v>
      </c>
      <c r="D569" s="11" t="s">
        <v>179</v>
      </c>
      <c r="E569" s="1"/>
      <c r="F569" s="1" t="s">
        <v>19</v>
      </c>
      <c r="G569" s="8" t="s">
        <v>180</v>
      </c>
      <c r="H569" s="8">
        <v>8248438488</v>
      </c>
      <c r="I569" s="10" t="s">
        <v>30</v>
      </c>
      <c r="J569" s="8" t="s">
        <v>181</v>
      </c>
      <c r="K569" s="8" t="s">
        <v>27</v>
      </c>
      <c r="L569" s="8" t="s">
        <v>28</v>
      </c>
      <c r="M569" s="2" t="s">
        <v>146</v>
      </c>
      <c r="N569" s="6" t="s">
        <v>138</v>
      </c>
      <c r="O569" s="11">
        <v>550</v>
      </c>
      <c r="P569" s="2" t="s">
        <v>783</v>
      </c>
      <c r="Q569" s="12" t="str">
        <f t="shared" si="125"/>
        <v>23</v>
      </c>
      <c r="R569" s="12" t="str">
        <f t="shared" si="126"/>
        <v>05</v>
      </c>
      <c r="S569" s="6" t="s">
        <v>129</v>
      </c>
      <c r="T569" s="1" t="s">
        <v>130</v>
      </c>
      <c r="U569" s="6" t="s">
        <v>148</v>
      </c>
      <c r="V569" s="1" t="s">
        <v>143</v>
      </c>
      <c r="W569" s="1" t="s">
        <v>133</v>
      </c>
      <c r="X569" s="5">
        <v>46224</v>
      </c>
      <c r="Y569" s="1">
        <f t="shared" si="127"/>
        <v>90</v>
      </c>
      <c r="Z569" s="5">
        <v>46224</v>
      </c>
      <c r="AA569" s="3"/>
      <c r="AB569" s="3"/>
      <c r="AD569" s="133" t="str">
        <f t="shared" si="107"/>
        <v>Closed In July</v>
      </c>
    </row>
    <row r="570" spans="1:30" hidden="1">
      <c r="A570" s="9">
        <v>46134</v>
      </c>
      <c r="B570" s="1">
        <v>2026</v>
      </c>
      <c r="C570" s="8" t="s">
        <v>26</v>
      </c>
      <c r="D570" s="11" t="s">
        <v>179</v>
      </c>
      <c r="E570" s="1"/>
      <c r="F570" s="1" t="s">
        <v>19</v>
      </c>
      <c r="G570" s="8" t="s">
        <v>180</v>
      </c>
      <c r="H570" s="8">
        <v>8248438488</v>
      </c>
      <c r="I570" s="10" t="s">
        <v>30</v>
      </c>
      <c r="J570" s="8" t="s">
        <v>181</v>
      </c>
      <c r="K570" s="8" t="s">
        <v>27</v>
      </c>
      <c r="L570" s="8" t="s">
        <v>28</v>
      </c>
      <c r="M570" s="2" t="s">
        <v>146</v>
      </c>
      <c r="N570" s="6" t="s">
        <v>138</v>
      </c>
      <c r="O570" s="11">
        <v>550</v>
      </c>
      <c r="P570" s="2" t="s">
        <v>784</v>
      </c>
      <c r="Q570" s="12" t="str">
        <f t="shared" si="125"/>
        <v>23</v>
      </c>
      <c r="R570" s="12" t="str">
        <f t="shared" si="126"/>
        <v>06</v>
      </c>
      <c r="S570" s="6" t="s">
        <v>129</v>
      </c>
      <c r="T570" s="1" t="s">
        <v>130</v>
      </c>
      <c r="U570" s="6" t="s">
        <v>148</v>
      </c>
      <c r="V570" s="1" t="s">
        <v>143</v>
      </c>
      <c r="W570" s="1" t="s">
        <v>133</v>
      </c>
      <c r="X570" s="5">
        <v>46224</v>
      </c>
      <c r="Y570" s="1">
        <f t="shared" si="127"/>
        <v>90</v>
      </c>
      <c r="Z570" s="5">
        <v>46224</v>
      </c>
      <c r="AA570" s="3"/>
      <c r="AB570" s="3"/>
      <c r="AD570" s="133" t="str">
        <f t="shared" si="107"/>
        <v>Closed In July</v>
      </c>
    </row>
    <row r="571" spans="1:30" hidden="1">
      <c r="A571" s="9">
        <v>46134</v>
      </c>
      <c r="B571" s="1">
        <v>2026</v>
      </c>
      <c r="C571" s="8" t="s">
        <v>26</v>
      </c>
      <c r="D571" s="11" t="s">
        <v>179</v>
      </c>
      <c r="E571" s="1"/>
      <c r="F571" s="1" t="s">
        <v>19</v>
      </c>
      <c r="G571" s="8" t="s">
        <v>180</v>
      </c>
      <c r="H571" s="8">
        <v>8248438488</v>
      </c>
      <c r="I571" s="10" t="s">
        <v>30</v>
      </c>
      <c r="J571" s="8" t="s">
        <v>181</v>
      </c>
      <c r="K571" s="8" t="s">
        <v>27</v>
      </c>
      <c r="L571" s="8" t="s">
        <v>28</v>
      </c>
      <c r="M571" s="2" t="s">
        <v>137</v>
      </c>
      <c r="N571" s="6" t="s">
        <v>138</v>
      </c>
      <c r="O571" s="11">
        <v>550</v>
      </c>
      <c r="P571" s="2" t="s">
        <v>785</v>
      </c>
      <c r="Q571" s="12" t="str">
        <f t="shared" si="125"/>
        <v>23</v>
      </c>
      <c r="R571" s="12" t="str">
        <f t="shared" si="126"/>
        <v>05</v>
      </c>
      <c r="S571" s="6" t="s">
        <v>129</v>
      </c>
      <c r="T571" s="1" t="s">
        <v>130</v>
      </c>
      <c r="U571" s="6" t="s">
        <v>142</v>
      </c>
      <c r="V571" s="1" t="s">
        <v>143</v>
      </c>
      <c r="W571" s="1" t="s">
        <v>133</v>
      </c>
      <c r="X571" s="5">
        <v>46224</v>
      </c>
      <c r="Y571" s="1">
        <f t="shared" si="127"/>
        <v>90</v>
      </c>
      <c r="Z571" s="5">
        <v>46224</v>
      </c>
      <c r="AA571" s="3"/>
      <c r="AB571" s="3"/>
      <c r="AD571" s="133" t="str">
        <f t="shared" si="107"/>
        <v>Closed In July</v>
      </c>
    </row>
    <row r="572" spans="1:30" hidden="1">
      <c r="A572" s="9">
        <v>46134</v>
      </c>
      <c r="B572" s="1">
        <v>2026</v>
      </c>
      <c r="C572" s="8" t="s">
        <v>26</v>
      </c>
      <c r="D572" s="11" t="s">
        <v>179</v>
      </c>
      <c r="E572" s="1"/>
      <c r="F572" s="1" t="s">
        <v>19</v>
      </c>
      <c r="G572" s="8" t="s">
        <v>180</v>
      </c>
      <c r="H572" s="8">
        <v>8248438488</v>
      </c>
      <c r="I572" s="10" t="s">
        <v>30</v>
      </c>
      <c r="J572" s="8" t="s">
        <v>181</v>
      </c>
      <c r="K572" s="8" t="s">
        <v>27</v>
      </c>
      <c r="L572" s="8" t="s">
        <v>28</v>
      </c>
      <c r="M572" s="2" t="s">
        <v>137</v>
      </c>
      <c r="N572" s="6" t="s">
        <v>138</v>
      </c>
      <c r="O572" s="11">
        <v>550</v>
      </c>
      <c r="P572" s="2" t="s">
        <v>786</v>
      </c>
      <c r="Q572" s="12" t="str">
        <f t="shared" si="125"/>
        <v>23</v>
      </c>
      <c r="R572" s="12" t="str">
        <f t="shared" si="126"/>
        <v>05</v>
      </c>
      <c r="S572" s="6" t="s">
        <v>129</v>
      </c>
      <c r="T572" s="1" t="s">
        <v>130</v>
      </c>
      <c r="U572" s="6" t="s">
        <v>142</v>
      </c>
      <c r="V572" s="1" t="s">
        <v>143</v>
      </c>
      <c r="W572" s="1" t="s">
        <v>133</v>
      </c>
      <c r="X572" s="5">
        <v>46224</v>
      </c>
      <c r="Y572" s="1">
        <f t="shared" si="127"/>
        <v>90</v>
      </c>
      <c r="Z572" s="5">
        <v>46224</v>
      </c>
      <c r="AA572" s="3"/>
      <c r="AB572" s="3"/>
      <c r="AD572" s="133" t="str">
        <f t="shared" si="107"/>
        <v>Closed In July</v>
      </c>
    </row>
    <row r="573" spans="1:30" hidden="1">
      <c r="A573" s="9">
        <v>46134</v>
      </c>
      <c r="B573" s="1">
        <v>2026</v>
      </c>
      <c r="C573" s="8" t="s">
        <v>26</v>
      </c>
      <c r="D573" s="11" t="s">
        <v>179</v>
      </c>
      <c r="E573" s="1"/>
      <c r="F573" s="1" t="s">
        <v>19</v>
      </c>
      <c r="G573" s="8" t="s">
        <v>180</v>
      </c>
      <c r="H573" s="8">
        <v>8248438488</v>
      </c>
      <c r="I573" s="10" t="s">
        <v>30</v>
      </c>
      <c r="J573" s="8" t="s">
        <v>181</v>
      </c>
      <c r="K573" s="8" t="s">
        <v>27</v>
      </c>
      <c r="L573" s="8" t="s">
        <v>28</v>
      </c>
      <c r="M573" s="2" t="s">
        <v>146</v>
      </c>
      <c r="N573" s="6" t="s">
        <v>138</v>
      </c>
      <c r="O573" s="11">
        <v>550</v>
      </c>
      <c r="P573" s="2" t="s">
        <v>787</v>
      </c>
      <c r="Q573" s="12" t="str">
        <f t="shared" si="125"/>
        <v>23</v>
      </c>
      <c r="R573" s="12" t="str">
        <f t="shared" si="126"/>
        <v>05</v>
      </c>
      <c r="S573" s="6" t="s">
        <v>129</v>
      </c>
      <c r="T573" s="1" t="s">
        <v>130</v>
      </c>
      <c r="U573" s="6" t="s">
        <v>148</v>
      </c>
      <c r="V573" s="1" t="s">
        <v>143</v>
      </c>
      <c r="W573" s="1" t="s">
        <v>133</v>
      </c>
      <c r="X573" s="5">
        <v>46224</v>
      </c>
      <c r="Y573" s="1">
        <f t="shared" si="127"/>
        <v>90</v>
      </c>
      <c r="Z573" s="5">
        <v>46224</v>
      </c>
      <c r="AA573" s="3"/>
      <c r="AB573" s="3"/>
      <c r="AD573" s="133" t="str">
        <f t="shared" si="107"/>
        <v>Closed In July</v>
      </c>
    </row>
    <row r="574" spans="1:30" hidden="1">
      <c r="A574" s="9">
        <v>46134</v>
      </c>
      <c r="B574" s="1">
        <v>2026</v>
      </c>
      <c r="C574" s="8" t="s">
        <v>26</v>
      </c>
      <c r="D574" s="11" t="s">
        <v>179</v>
      </c>
      <c r="E574" s="1"/>
      <c r="F574" s="1" t="s">
        <v>19</v>
      </c>
      <c r="G574" s="8" t="s">
        <v>180</v>
      </c>
      <c r="H574" s="8">
        <v>8248438488</v>
      </c>
      <c r="I574" s="10" t="s">
        <v>30</v>
      </c>
      <c r="J574" s="8" t="s">
        <v>181</v>
      </c>
      <c r="K574" s="8" t="s">
        <v>27</v>
      </c>
      <c r="L574" s="8" t="s">
        <v>28</v>
      </c>
      <c r="M574" s="2" t="s">
        <v>146</v>
      </c>
      <c r="N574" s="6" t="s">
        <v>138</v>
      </c>
      <c r="O574" s="11">
        <v>550</v>
      </c>
      <c r="P574" s="2" t="s">
        <v>788</v>
      </c>
      <c r="Q574" s="12" t="str">
        <f t="shared" si="125"/>
        <v>23</v>
      </c>
      <c r="R574" s="12" t="str">
        <f t="shared" si="126"/>
        <v>05</v>
      </c>
      <c r="S574" s="6" t="s">
        <v>129</v>
      </c>
      <c r="T574" s="1" t="s">
        <v>130</v>
      </c>
      <c r="U574" s="6" t="s">
        <v>148</v>
      </c>
      <c r="V574" s="1" t="s">
        <v>143</v>
      </c>
      <c r="W574" s="1" t="s">
        <v>133</v>
      </c>
      <c r="X574" s="5">
        <v>46224</v>
      </c>
      <c r="Y574" s="1">
        <f t="shared" si="127"/>
        <v>90</v>
      </c>
      <c r="Z574" s="5">
        <v>46224</v>
      </c>
      <c r="AA574" s="3"/>
      <c r="AB574" s="3"/>
      <c r="AD574" s="133" t="str">
        <f t="shared" si="107"/>
        <v>Closed In July</v>
      </c>
    </row>
    <row r="575" spans="1:30" hidden="1">
      <c r="A575" s="9">
        <v>46134</v>
      </c>
      <c r="B575" s="1">
        <v>2026</v>
      </c>
      <c r="C575" s="8" t="s">
        <v>26</v>
      </c>
      <c r="D575" s="11" t="s">
        <v>179</v>
      </c>
      <c r="E575" s="1"/>
      <c r="F575" s="1" t="s">
        <v>19</v>
      </c>
      <c r="G575" s="8" t="s">
        <v>180</v>
      </c>
      <c r="H575" s="8">
        <v>8248438488</v>
      </c>
      <c r="I575" s="10" t="s">
        <v>30</v>
      </c>
      <c r="J575" s="8" t="s">
        <v>181</v>
      </c>
      <c r="K575" s="8" t="s">
        <v>27</v>
      </c>
      <c r="L575" s="8" t="s">
        <v>28</v>
      </c>
      <c r="M575" s="2" t="s">
        <v>146</v>
      </c>
      <c r="N575" s="6" t="s">
        <v>138</v>
      </c>
      <c r="O575" s="11">
        <v>550</v>
      </c>
      <c r="P575" s="2" t="s">
        <v>789</v>
      </c>
      <c r="Q575" s="12" t="str">
        <f t="shared" si="125"/>
        <v>23</v>
      </c>
      <c r="R575" s="12" t="str">
        <f t="shared" si="126"/>
        <v>05</v>
      </c>
      <c r="S575" s="6" t="s">
        <v>129</v>
      </c>
      <c r="T575" s="1" t="s">
        <v>130</v>
      </c>
      <c r="U575" s="6" t="s">
        <v>148</v>
      </c>
      <c r="V575" s="1" t="s">
        <v>143</v>
      </c>
      <c r="W575" s="1" t="s">
        <v>133</v>
      </c>
      <c r="X575" s="5">
        <v>46224</v>
      </c>
      <c r="Y575" s="1">
        <f t="shared" si="127"/>
        <v>90</v>
      </c>
      <c r="Z575" s="5">
        <v>46224</v>
      </c>
      <c r="AA575" s="3"/>
      <c r="AB575" s="3"/>
      <c r="AD575" s="133" t="str">
        <f t="shared" si="107"/>
        <v>Closed In July</v>
      </c>
    </row>
    <row r="576" spans="1:30" hidden="1">
      <c r="A576" s="9">
        <v>46134</v>
      </c>
      <c r="B576" s="1">
        <v>2026</v>
      </c>
      <c r="C576" s="8" t="s">
        <v>26</v>
      </c>
      <c r="D576" s="11" t="s">
        <v>179</v>
      </c>
      <c r="E576" s="1"/>
      <c r="F576" s="1" t="s">
        <v>19</v>
      </c>
      <c r="G576" s="8" t="s">
        <v>180</v>
      </c>
      <c r="H576" s="8">
        <v>8248438488</v>
      </c>
      <c r="I576" s="10" t="s">
        <v>30</v>
      </c>
      <c r="J576" s="8" t="s">
        <v>181</v>
      </c>
      <c r="K576" s="8" t="s">
        <v>27</v>
      </c>
      <c r="L576" s="8" t="s">
        <v>28</v>
      </c>
      <c r="M576" s="2" t="s">
        <v>146</v>
      </c>
      <c r="N576" s="6" t="s">
        <v>138</v>
      </c>
      <c r="O576" s="11">
        <v>550</v>
      </c>
      <c r="P576" s="2" t="s">
        <v>790</v>
      </c>
      <c r="Q576" s="12" t="str">
        <f t="shared" si="125"/>
        <v>23</v>
      </c>
      <c r="R576" s="12" t="str">
        <f t="shared" si="126"/>
        <v>05</v>
      </c>
      <c r="S576" s="6" t="s">
        <v>129</v>
      </c>
      <c r="T576" s="1" t="s">
        <v>130</v>
      </c>
      <c r="U576" s="6" t="s">
        <v>148</v>
      </c>
      <c r="V576" s="1" t="s">
        <v>143</v>
      </c>
      <c r="W576" s="1" t="s">
        <v>133</v>
      </c>
      <c r="X576" s="5">
        <v>46224</v>
      </c>
      <c r="Y576" s="1">
        <f t="shared" si="127"/>
        <v>90</v>
      </c>
      <c r="Z576" s="5">
        <v>46224</v>
      </c>
      <c r="AA576" s="3"/>
      <c r="AB576" s="3"/>
      <c r="AD576" s="133" t="str">
        <f t="shared" si="107"/>
        <v>Closed In July</v>
      </c>
    </row>
    <row r="577" spans="1:30" hidden="1">
      <c r="A577" s="9">
        <v>46134</v>
      </c>
      <c r="B577" s="1">
        <v>2026</v>
      </c>
      <c r="C577" s="8" t="s">
        <v>26</v>
      </c>
      <c r="D577" s="11" t="s">
        <v>179</v>
      </c>
      <c r="E577" s="1"/>
      <c r="F577" s="1" t="s">
        <v>19</v>
      </c>
      <c r="G577" s="8" t="s">
        <v>180</v>
      </c>
      <c r="H577" s="8">
        <v>8248438488</v>
      </c>
      <c r="I577" s="10" t="s">
        <v>30</v>
      </c>
      <c r="J577" s="8" t="s">
        <v>181</v>
      </c>
      <c r="K577" s="8" t="s">
        <v>27</v>
      </c>
      <c r="L577" s="8" t="s">
        <v>28</v>
      </c>
      <c r="M577" s="2" t="s">
        <v>146</v>
      </c>
      <c r="N577" s="6" t="s">
        <v>138</v>
      </c>
      <c r="O577" s="11">
        <v>550</v>
      </c>
      <c r="P577" s="2" t="s">
        <v>791</v>
      </c>
      <c r="Q577" s="12" t="str">
        <f t="shared" si="125"/>
        <v>23</v>
      </c>
      <c r="R577" s="12" t="str">
        <f t="shared" si="126"/>
        <v>05</v>
      </c>
      <c r="S577" s="6" t="s">
        <v>129</v>
      </c>
      <c r="T577" s="1" t="s">
        <v>130</v>
      </c>
      <c r="U577" s="6" t="s">
        <v>148</v>
      </c>
      <c r="V577" s="1" t="s">
        <v>143</v>
      </c>
      <c r="W577" s="1" t="s">
        <v>133</v>
      </c>
      <c r="X577" s="5">
        <v>46224</v>
      </c>
      <c r="Y577" s="1">
        <f t="shared" si="127"/>
        <v>90</v>
      </c>
      <c r="Z577" s="5">
        <v>46224</v>
      </c>
      <c r="AA577" s="3"/>
      <c r="AB577" s="3"/>
      <c r="AD577" s="133" t="str">
        <f t="shared" si="107"/>
        <v>Closed In July</v>
      </c>
    </row>
    <row r="578" spans="1:30" hidden="1">
      <c r="A578" s="9">
        <v>46134</v>
      </c>
      <c r="B578" s="1">
        <v>2026</v>
      </c>
      <c r="C578" s="8" t="s">
        <v>26</v>
      </c>
      <c r="D578" s="11" t="s">
        <v>179</v>
      </c>
      <c r="E578" s="1"/>
      <c r="F578" s="1" t="s">
        <v>19</v>
      </c>
      <c r="G578" s="8" t="s">
        <v>180</v>
      </c>
      <c r="H578" s="8">
        <v>8248438488</v>
      </c>
      <c r="I578" s="10" t="s">
        <v>30</v>
      </c>
      <c r="J578" s="8" t="s">
        <v>181</v>
      </c>
      <c r="K578" s="8" t="s">
        <v>27</v>
      </c>
      <c r="L578" s="8" t="s">
        <v>28</v>
      </c>
      <c r="M578" s="2" t="s">
        <v>146</v>
      </c>
      <c r="N578" s="6" t="s">
        <v>138</v>
      </c>
      <c r="O578" s="11">
        <v>550</v>
      </c>
      <c r="P578" s="2" t="s">
        <v>792</v>
      </c>
      <c r="Q578" s="12" t="str">
        <f t="shared" si="125"/>
        <v>23</v>
      </c>
      <c r="R578" s="12" t="str">
        <f t="shared" si="126"/>
        <v>05</v>
      </c>
      <c r="S578" s="6" t="s">
        <v>129</v>
      </c>
      <c r="T578" s="1" t="s">
        <v>130</v>
      </c>
      <c r="U578" s="6" t="s">
        <v>148</v>
      </c>
      <c r="V578" s="1" t="s">
        <v>143</v>
      </c>
      <c r="W578" s="1" t="s">
        <v>133</v>
      </c>
      <c r="X578" s="5">
        <v>46224</v>
      </c>
      <c r="Y578" s="1">
        <f t="shared" si="127"/>
        <v>90</v>
      </c>
      <c r="Z578" s="5">
        <v>46224</v>
      </c>
      <c r="AA578" s="3"/>
      <c r="AB578" s="3"/>
      <c r="AD578" s="133" t="str">
        <f t="shared" si="107"/>
        <v>Closed In July</v>
      </c>
    </row>
    <row r="579" spans="1:30" hidden="1">
      <c r="A579" s="9">
        <v>46134</v>
      </c>
      <c r="B579" s="1">
        <v>2026</v>
      </c>
      <c r="C579" s="8" t="s">
        <v>26</v>
      </c>
      <c r="D579" s="11" t="s">
        <v>179</v>
      </c>
      <c r="E579" s="1"/>
      <c r="F579" s="1" t="s">
        <v>19</v>
      </c>
      <c r="G579" s="8" t="s">
        <v>180</v>
      </c>
      <c r="H579" s="8">
        <v>8248438488</v>
      </c>
      <c r="I579" s="10" t="s">
        <v>30</v>
      </c>
      <c r="J579" s="8" t="s">
        <v>181</v>
      </c>
      <c r="K579" s="8" t="s">
        <v>27</v>
      </c>
      <c r="L579" s="8" t="s">
        <v>28</v>
      </c>
      <c r="M579" s="2" t="s">
        <v>146</v>
      </c>
      <c r="N579" s="6" t="s">
        <v>138</v>
      </c>
      <c r="O579" s="11">
        <v>550</v>
      </c>
      <c r="P579" s="2" t="s">
        <v>793</v>
      </c>
      <c r="Q579" s="12" t="str">
        <f t="shared" si="125"/>
        <v>23</v>
      </c>
      <c r="R579" s="12" t="str">
        <f t="shared" si="126"/>
        <v>05</v>
      </c>
      <c r="S579" s="6" t="s">
        <v>129</v>
      </c>
      <c r="T579" s="1" t="s">
        <v>130</v>
      </c>
      <c r="U579" s="6" t="s">
        <v>148</v>
      </c>
      <c r="V579" s="1" t="s">
        <v>143</v>
      </c>
      <c r="W579" s="1" t="s">
        <v>133</v>
      </c>
      <c r="X579" s="5">
        <v>46224</v>
      </c>
      <c r="Y579" s="1">
        <f t="shared" si="127"/>
        <v>90</v>
      </c>
      <c r="Z579" s="5">
        <v>46224</v>
      </c>
      <c r="AA579" s="3"/>
      <c r="AB579" s="3"/>
      <c r="AD579" s="133" t="str">
        <f t="shared" ref="AD579:AD642" si="128">IF(AND(F579="Closed",X579&gt;=DATE(2026,7,1),X579&lt;=DATE(2026,7,31)),"Closed In July","Other")</f>
        <v>Closed In July</v>
      </c>
    </row>
    <row r="580" spans="1:30" hidden="1">
      <c r="A580" s="9">
        <v>46134</v>
      </c>
      <c r="B580" s="1">
        <v>2026</v>
      </c>
      <c r="C580" s="8" t="s">
        <v>26</v>
      </c>
      <c r="D580" s="11" t="s">
        <v>179</v>
      </c>
      <c r="E580" s="1"/>
      <c r="F580" s="1" t="s">
        <v>19</v>
      </c>
      <c r="G580" s="8" t="s">
        <v>180</v>
      </c>
      <c r="H580" s="8">
        <v>8248438488</v>
      </c>
      <c r="I580" s="10" t="s">
        <v>30</v>
      </c>
      <c r="J580" s="8" t="s">
        <v>181</v>
      </c>
      <c r="K580" s="8" t="s">
        <v>27</v>
      </c>
      <c r="L580" s="8" t="s">
        <v>28</v>
      </c>
      <c r="M580" s="2" t="s">
        <v>146</v>
      </c>
      <c r="N580" s="6" t="s">
        <v>138</v>
      </c>
      <c r="O580" s="11">
        <v>550</v>
      </c>
      <c r="P580" s="2" t="s">
        <v>794</v>
      </c>
      <c r="Q580" s="12" t="str">
        <f t="shared" si="125"/>
        <v>23</v>
      </c>
      <c r="R580" s="12" t="str">
        <f t="shared" si="126"/>
        <v>05</v>
      </c>
      <c r="S580" s="6" t="s">
        <v>129</v>
      </c>
      <c r="T580" s="1" t="s">
        <v>130</v>
      </c>
      <c r="U580" s="6" t="s">
        <v>148</v>
      </c>
      <c r="V580" s="1" t="s">
        <v>143</v>
      </c>
      <c r="W580" s="1" t="s">
        <v>133</v>
      </c>
      <c r="X580" s="5">
        <v>46224</v>
      </c>
      <c r="Y580" s="1">
        <f t="shared" si="127"/>
        <v>90</v>
      </c>
      <c r="Z580" s="5">
        <v>46224</v>
      </c>
      <c r="AA580" s="3"/>
      <c r="AB580" s="3"/>
      <c r="AD580" s="133" t="str">
        <f t="shared" si="128"/>
        <v>Closed In July</v>
      </c>
    </row>
    <row r="581" spans="1:30" hidden="1">
      <c r="A581" s="9">
        <v>46134</v>
      </c>
      <c r="B581" s="1">
        <v>2026</v>
      </c>
      <c r="C581" s="8" t="s">
        <v>26</v>
      </c>
      <c r="D581" s="11" t="s">
        <v>179</v>
      </c>
      <c r="E581" s="1"/>
      <c r="F581" s="1" t="s">
        <v>19</v>
      </c>
      <c r="G581" s="8" t="s">
        <v>180</v>
      </c>
      <c r="H581" s="8">
        <v>8248438488</v>
      </c>
      <c r="I581" s="10" t="s">
        <v>30</v>
      </c>
      <c r="J581" s="8" t="s">
        <v>181</v>
      </c>
      <c r="K581" s="8" t="s">
        <v>27</v>
      </c>
      <c r="L581" s="8" t="s">
        <v>28</v>
      </c>
      <c r="M581" s="2" t="s">
        <v>146</v>
      </c>
      <c r="N581" s="6" t="s">
        <v>138</v>
      </c>
      <c r="O581" s="11">
        <v>550</v>
      </c>
      <c r="P581" s="2" t="s">
        <v>795</v>
      </c>
      <c r="Q581" s="12" t="str">
        <f t="shared" si="125"/>
        <v>23</v>
      </c>
      <c r="R581" s="12" t="str">
        <f t="shared" si="126"/>
        <v>05</v>
      </c>
      <c r="S581" s="6" t="s">
        <v>129</v>
      </c>
      <c r="T581" s="1" t="s">
        <v>130</v>
      </c>
      <c r="U581" s="6" t="s">
        <v>148</v>
      </c>
      <c r="V581" s="1" t="s">
        <v>143</v>
      </c>
      <c r="W581" s="1" t="s">
        <v>133</v>
      </c>
      <c r="X581" s="5">
        <v>46224</v>
      </c>
      <c r="Y581" s="1">
        <f t="shared" si="127"/>
        <v>90</v>
      </c>
      <c r="Z581" s="5">
        <v>46224</v>
      </c>
      <c r="AA581" s="3"/>
      <c r="AB581" s="3"/>
      <c r="AD581" s="133" t="str">
        <f t="shared" si="128"/>
        <v>Closed In July</v>
      </c>
    </row>
    <row r="582" spans="1:30" hidden="1">
      <c r="A582" s="9">
        <v>46134</v>
      </c>
      <c r="B582" s="1">
        <v>2026</v>
      </c>
      <c r="C582" s="8" t="s">
        <v>26</v>
      </c>
      <c r="D582" s="11" t="s">
        <v>179</v>
      </c>
      <c r="E582" s="1"/>
      <c r="F582" s="1" t="s">
        <v>19</v>
      </c>
      <c r="G582" s="8" t="s">
        <v>180</v>
      </c>
      <c r="H582" s="8">
        <v>8248438488</v>
      </c>
      <c r="I582" s="10" t="s">
        <v>30</v>
      </c>
      <c r="J582" s="8" t="s">
        <v>181</v>
      </c>
      <c r="K582" s="8" t="s">
        <v>27</v>
      </c>
      <c r="L582" s="8" t="s">
        <v>28</v>
      </c>
      <c r="M582" s="2" t="s">
        <v>137</v>
      </c>
      <c r="N582" s="6" t="s">
        <v>138</v>
      </c>
      <c r="O582" s="11">
        <v>550</v>
      </c>
      <c r="P582" s="2" t="s">
        <v>796</v>
      </c>
      <c r="Q582" s="12" t="str">
        <f t="shared" si="125"/>
        <v>23</v>
      </c>
      <c r="R582" s="12" t="str">
        <f t="shared" si="126"/>
        <v>05</v>
      </c>
      <c r="S582" s="6" t="s">
        <v>129</v>
      </c>
      <c r="T582" s="1" t="s">
        <v>130</v>
      </c>
      <c r="U582" s="6" t="s">
        <v>142</v>
      </c>
      <c r="V582" s="1" t="s">
        <v>143</v>
      </c>
      <c r="W582" s="1" t="s">
        <v>133</v>
      </c>
      <c r="X582" s="5">
        <v>46224</v>
      </c>
      <c r="Y582" s="1">
        <f t="shared" si="127"/>
        <v>90</v>
      </c>
      <c r="Z582" s="5">
        <v>46224</v>
      </c>
      <c r="AA582" s="3"/>
      <c r="AB582" s="3"/>
      <c r="AD582" s="133" t="str">
        <f t="shared" si="128"/>
        <v>Closed In July</v>
      </c>
    </row>
    <row r="583" spans="1:30" hidden="1">
      <c r="A583" s="9">
        <v>46134</v>
      </c>
      <c r="B583" s="1">
        <v>2026</v>
      </c>
      <c r="C583" s="8" t="s">
        <v>26</v>
      </c>
      <c r="D583" s="11" t="s">
        <v>179</v>
      </c>
      <c r="E583" s="1"/>
      <c r="F583" s="1" t="s">
        <v>19</v>
      </c>
      <c r="G583" s="8" t="s">
        <v>180</v>
      </c>
      <c r="H583" s="8">
        <v>8248438488</v>
      </c>
      <c r="I583" s="10" t="s">
        <v>30</v>
      </c>
      <c r="J583" s="8" t="s">
        <v>181</v>
      </c>
      <c r="K583" s="8" t="s">
        <v>27</v>
      </c>
      <c r="L583" s="8" t="s">
        <v>28</v>
      </c>
      <c r="M583" s="2" t="s">
        <v>137</v>
      </c>
      <c r="N583" s="6" t="s">
        <v>138</v>
      </c>
      <c r="O583" s="11">
        <v>550</v>
      </c>
      <c r="P583" s="2" t="s">
        <v>797</v>
      </c>
      <c r="Q583" s="12" t="str">
        <f t="shared" si="125"/>
        <v>23</v>
      </c>
      <c r="R583" s="12" t="str">
        <f t="shared" si="126"/>
        <v>05</v>
      </c>
      <c r="S583" s="6" t="s">
        <v>129</v>
      </c>
      <c r="T583" s="1" t="s">
        <v>130</v>
      </c>
      <c r="U583" s="6" t="s">
        <v>142</v>
      </c>
      <c r="V583" s="1" t="s">
        <v>143</v>
      </c>
      <c r="W583" s="1" t="s">
        <v>133</v>
      </c>
      <c r="X583" s="5">
        <v>46224</v>
      </c>
      <c r="Y583" s="1">
        <f t="shared" si="127"/>
        <v>90</v>
      </c>
      <c r="Z583" s="5">
        <v>46224</v>
      </c>
      <c r="AA583" s="3"/>
      <c r="AB583" s="3"/>
      <c r="AD583" s="133" t="str">
        <f t="shared" si="128"/>
        <v>Closed In July</v>
      </c>
    </row>
    <row r="584" spans="1:30" hidden="1">
      <c r="A584" s="9">
        <v>46134</v>
      </c>
      <c r="B584" s="1">
        <v>2026</v>
      </c>
      <c r="C584" s="8" t="s">
        <v>26</v>
      </c>
      <c r="D584" s="11" t="s">
        <v>179</v>
      </c>
      <c r="E584" s="1"/>
      <c r="F584" s="1" t="s">
        <v>19</v>
      </c>
      <c r="G584" s="8" t="s">
        <v>180</v>
      </c>
      <c r="H584" s="8">
        <v>8248438488</v>
      </c>
      <c r="I584" s="10" t="s">
        <v>30</v>
      </c>
      <c r="J584" s="8" t="s">
        <v>181</v>
      </c>
      <c r="K584" s="8" t="s">
        <v>27</v>
      </c>
      <c r="L584" s="8" t="s">
        <v>28</v>
      </c>
      <c r="M584" s="2" t="s">
        <v>137</v>
      </c>
      <c r="N584" s="6" t="s">
        <v>138</v>
      </c>
      <c r="O584" s="11">
        <v>550</v>
      </c>
      <c r="P584" s="2" t="s">
        <v>798</v>
      </c>
      <c r="Q584" s="12" t="str">
        <f t="shared" si="125"/>
        <v>23</v>
      </c>
      <c r="R584" s="12" t="str">
        <f t="shared" si="126"/>
        <v>05</v>
      </c>
      <c r="S584" s="6" t="s">
        <v>129</v>
      </c>
      <c r="T584" s="1" t="s">
        <v>130</v>
      </c>
      <c r="U584" s="6" t="s">
        <v>142</v>
      </c>
      <c r="V584" s="1" t="s">
        <v>143</v>
      </c>
      <c r="W584" s="1" t="s">
        <v>133</v>
      </c>
      <c r="X584" s="5">
        <v>46224</v>
      </c>
      <c r="Y584" s="1">
        <f t="shared" si="127"/>
        <v>90</v>
      </c>
      <c r="Z584" s="5">
        <v>46224</v>
      </c>
      <c r="AA584" s="3"/>
      <c r="AB584" s="3"/>
      <c r="AD584" s="133" t="str">
        <f t="shared" si="128"/>
        <v>Closed In July</v>
      </c>
    </row>
    <row r="585" spans="1:30" hidden="1">
      <c r="A585" s="9">
        <v>46134</v>
      </c>
      <c r="B585" s="1">
        <v>2026</v>
      </c>
      <c r="C585" s="8" t="s">
        <v>26</v>
      </c>
      <c r="D585" s="11" t="s">
        <v>179</v>
      </c>
      <c r="E585" s="1"/>
      <c r="F585" s="1" t="s">
        <v>19</v>
      </c>
      <c r="G585" s="8" t="s">
        <v>180</v>
      </c>
      <c r="H585" s="8">
        <v>8248438488</v>
      </c>
      <c r="I585" s="10" t="s">
        <v>30</v>
      </c>
      <c r="J585" s="8" t="s">
        <v>181</v>
      </c>
      <c r="K585" s="8" t="s">
        <v>27</v>
      </c>
      <c r="L585" s="8" t="s">
        <v>28</v>
      </c>
      <c r="M585" s="2" t="s">
        <v>146</v>
      </c>
      <c r="N585" s="6" t="s">
        <v>138</v>
      </c>
      <c r="O585" s="11">
        <v>550</v>
      </c>
      <c r="P585" s="2" t="s">
        <v>799</v>
      </c>
      <c r="Q585" s="12" t="str">
        <f t="shared" si="125"/>
        <v>23</v>
      </c>
      <c r="R585" s="12" t="str">
        <f t="shared" si="126"/>
        <v>05</v>
      </c>
      <c r="S585" s="6" t="s">
        <v>129</v>
      </c>
      <c r="T585" s="1" t="s">
        <v>130</v>
      </c>
      <c r="U585" s="6" t="s">
        <v>148</v>
      </c>
      <c r="V585" s="1" t="s">
        <v>143</v>
      </c>
      <c r="W585" s="1" t="s">
        <v>133</v>
      </c>
      <c r="X585" s="5">
        <v>46224</v>
      </c>
      <c r="Y585" s="1">
        <f t="shared" si="127"/>
        <v>90</v>
      </c>
      <c r="Z585" s="5">
        <v>46224</v>
      </c>
      <c r="AA585" s="3"/>
      <c r="AB585" s="3"/>
      <c r="AD585" s="133" t="str">
        <f t="shared" si="128"/>
        <v>Closed In July</v>
      </c>
    </row>
    <row r="586" spans="1:30" hidden="1">
      <c r="A586" s="9">
        <v>46134</v>
      </c>
      <c r="B586" s="1">
        <v>2026</v>
      </c>
      <c r="C586" s="8" t="s">
        <v>26</v>
      </c>
      <c r="D586" s="11" t="s">
        <v>179</v>
      </c>
      <c r="E586" s="1"/>
      <c r="F586" s="1" t="s">
        <v>19</v>
      </c>
      <c r="G586" s="8" t="s">
        <v>180</v>
      </c>
      <c r="H586" s="8">
        <v>8248438488</v>
      </c>
      <c r="I586" s="10" t="s">
        <v>30</v>
      </c>
      <c r="J586" s="8" t="s">
        <v>181</v>
      </c>
      <c r="K586" s="8" t="s">
        <v>27</v>
      </c>
      <c r="L586" s="8" t="s">
        <v>28</v>
      </c>
      <c r="M586" s="2" t="s">
        <v>146</v>
      </c>
      <c r="N586" s="6" t="s">
        <v>138</v>
      </c>
      <c r="O586" s="11">
        <v>550</v>
      </c>
      <c r="P586" s="2" t="s">
        <v>800</v>
      </c>
      <c r="Q586" s="12" t="str">
        <f t="shared" si="125"/>
        <v>23</v>
      </c>
      <c r="R586" s="12" t="str">
        <f t="shared" si="126"/>
        <v>05</v>
      </c>
      <c r="S586" s="6" t="s">
        <v>129</v>
      </c>
      <c r="T586" s="1" t="s">
        <v>130</v>
      </c>
      <c r="U586" s="6" t="s">
        <v>148</v>
      </c>
      <c r="V586" s="1" t="s">
        <v>143</v>
      </c>
      <c r="W586" s="1" t="s">
        <v>133</v>
      </c>
      <c r="X586" s="5">
        <v>46224</v>
      </c>
      <c r="Y586" s="1">
        <f t="shared" si="127"/>
        <v>90</v>
      </c>
      <c r="Z586" s="5">
        <v>46224</v>
      </c>
      <c r="AA586" s="3"/>
      <c r="AB586" s="3"/>
      <c r="AD586" s="133" t="str">
        <f t="shared" si="128"/>
        <v>Closed In July</v>
      </c>
    </row>
    <row r="587" spans="1:30" hidden="1">
      <c r="A587" s="9">
        <v>46134</v>
      </c>
      <c r="B587" s="1">
        <v>2026</v>
      </c>
      <c r="C587" s="8" t="s">
        <v>26</v>
      </c>
      <c r="D587" s="11" t="s">
        <v>179</v>
      </c>
      <c r="E587" s="1"/>
      <c r="F587" s="1" t="s">
        <v>19</v>
      </c>
      <c r="G587" s="8" t="s">
        <v>180</v>
      </c>
      <c r="H587" s="8">
        <v>8248438488</v>
      </c>
      <c r="I587" s="10" t="s">
        <v>30</v>
      </c>
      <c r="J587" s="8" t="s">
        <v>181</v>
      </c>
      <c r="K587" s="8" t="s">
        <v>27</v>
      </c>
      <c r="L587" s="8" t="s">
        <v>28</v>
      </c>
      <c r="M587" s="2" t="s">
        <v>146</v>
      </c>
      <c r="N587" s="6" t="s">
        <v>138</v>
      </c>
      <c r="O587" s="11">
        <v>550</v>
      </c>
      <c r="P587" s="2" t="s">
        <v>801</v>
      </c>
      <c r="Q587" s="12" t="str">
        <f t="shared" si="125"/>
        <v>23</v>
      </c>
      <c r="R587" s="12" t="str">
        <f t="shared" si="126"/>
        <v>05</v>
      </c>
      <c r="S587" s="6" t="s">
        <v>129</v>
      </c>
      <c r="T587" s="1" t="s">
        <v>130</v>
      </c>
      <c r="U587" s="6" t="s">
        <v>148</v>
      </c>
      <c r="V587" s="1" t="s">
        <v>143</v>
      </c>
      <c r="W587" s="1" t="s">
        <v>133</v>
      </c>
      <c r="X587" s="5">
        <v>46224</v>
      </c>
      <c r="Y587" s="1">
        <f t="shared" si="127"/>
        <v>90</v>
      </c>
      <c r="Z587" s="5">
        <v>46224</v>
      </c>
      <c r="AA587" s="3"/>
      <c r="AB587" s="3"/>
      <c r="AD587" s="133" t="str">
        <f t="shared" si="128"/>
        <v>Closed In July</v>
      </c>
    </row>
    <row r="588" spans="1:30" hidden="1">
      <c r="A588" s="9">
        <v>46134</v>
      </c>
      <c r="B588" s="1">
        <v>2026</v>
      </c>
      <c r="C588" s="8" t="s">
        <v>26</v>
      </c>
      <c r="D588" s="11" t="s">
        <v>179</v>
      </c>
      <c r="E588" s="1"/>
      <c r="F588" s="1" t="s">
        <v>19</v>
      </c>
      <c r="G588" s="8" t="s">
        <v>180</v>
      </c>
      <c r="H588" s="8">
        <v>8248438488</v>
      </c>
      <c r="I588" s="10" t="s">
        <v>30</v>
      </c>
      <c r="J588" s="8" t="s">
        <v>181</v>
      </c>
      <c r="K588" s="8" t="s">
        <v>27</v>
      </c>
      <c r="L588" s="8" t="s">
        <v>28</v>
      </c>
      <c r="M588" s="2" t="s">
        <v>146</v>
      </c>
      <c r="N588" s="6" t="s">
        <v>138</v>
      </c>
      <c r="O588" s="11">
        <v>550</v>
      </c>
      <c r="P588" s="2" t="s">
        <v>802</v>
      </c>
      <c r="Q588" s="12" t="str">
        <f t="shared" si="125"/>
        <v>23</v>
      </c>
      <c r="R588" s="12" t="str">
        <f t="shared" si="126"/>
        <v>05</v>
      </c>
      <c r="S588" s="6" t="s">
        <v>129</v>
      </c>
      <c r="T588" s="1" t="s">
        <v>130</v>
      </c>
      <c r="U588" s="6" t="s">
        <v>148</v>
      </c>
      <c r="V588" s="1" t="s">
        <v>143</v>
      </c>
      <c r="W588" s="1" t="s">
        <v>133</v>
      </c>
      <c r="X588" s="5">
        <v>46224</v>
      </c>
      <c r="Y588" s="1">
        <f t="shared" si="127"/>
        <v>90</v>
      </c>
      <c r="Z588" s="5">
        <v>46224</v>
      </c>
      <c r="AA588" s="3"/>
      <c r="AB588" s="3"/>
      <c r="AD588" s="133" t="str">
        <f t="shared" si="128"/>
        <v>Closed In July</v>
      </c>
    </row>
    <row r="589" spans="1:30" hidden="1">
      <c r="A589" s="9">
        <v>46134</v>
      </c>
      <c r="B589" s="1">
        <v>2026</v>
      </c>
      <c r="C589" s="8" t="s">
        <v>26</v>
      </c>
      <c r="D589" s="11" t="s">
        <v>179</v>
      </c>
      <c r="E589" s="1"/>
      <c r="F589" s="1" t="s">
        <v>19</v>
      </c>
      <c r="G589" s="8" t="s">
        <v>180</v>
      </c>
      <c r="H589" s="8">
        <v>8248438488</v>
      </c>
      <c r="I589" s="10" t="s">
        <v>30</v>
      </c>
      <c r="J589" s="8" t="s">
        <v>181</v>
      </c>
      <c r="K589" s="8" t="s">
        <v>27</v>
      </c>
      <c r="L589" s="8" t="s">
        <v>28</v>
      </c>
      <c r="M589" s="2" t="s">
        <v>146</v>
      </c>
      <c r="N589" s="6" t="s">
        <v>138</v>
      </c>
      <c r="O589" s="11">
        <v>550</v>
      </c>
      <c r="P589" s="2" t="s">
        <v>803</v>
      </c>
      <c r="Q589" s="12" t="str">
        <f t="shared" si="125"/>
        <v>23</v>
      </c>
      <c r="R589" s="12" t="str">
        <f t="shared" si="126"/>
        <v>05</v>
      </c>
      <c r="S589" s="6" t="s">
        <v>129</v>
      </c>
      <c r="T589" s="1" t="s">
        <v>130</v>
      </c>
      <c r="U589" s="6" t="s">
        <v>148</v>
      </c>
      <c r="V589" s="1" t="s">
        <v>143</v>
      </c>
      <c r="W589" s="1" t="s">
        <v>133</v>
      </c>
      <c r="X589" s="5">
        <v>46224</v>
      </c>
      <c r="Y589" s="1">
        <f t="shared" si="127"/>
        <v>90</v>
      </c>
      <c r="Z589" s="5">
        <v>46224</v>
      </c>
      <c r="AA589" s="3"/>
      <c r="AB589" s="3"/>
      <c r="AD589" s="133" t="str">
        <f t="shared" si="128"/>
        <v>Closed In July</v>
      </c>
    </row>
    <row r="590" spans="1:30" hidden="1">
      <c r="A590" s="9">
        <v>46134</v>
      </c>
      <c r="B590" s="1">
        <v>2026</v>
      </c>
      <c r="C590" s="8" t="s">
        <v>26</v>
      </c>
      <c r="D590" s="11" t="s">
        <v>179</v>
      </c>
      <c r="E590" s="1"/>
      <c r="F590" s="1" t="s">
        <v>19</v>
      </c>
      <c r="G590" s="8" t="s">
        <v>180</v>
      </c>
      <c r="H590" s="8">
        <v>8248438488</v>
      </c>
      <c r="I590" s="10" t="s">
        <v>30</v>
      </c>
      <c r="J590" s="8" t="s">
        <v>181</v>
      </c>
      <c r="K590" s="8" t="s">
        <v>27</v>
      </c>
      <c r="L590" s="8" t="s">
        <v>28</v>
      </c>
      <c r="M590" s="2" t="s">
        <v>146</v>
      </c>
      <c r="N590" s="6" t="s">
        <v>138</v>
      </c>
      <c r="O590" s="11">
        <v>550</v>
      </c>
      <c r="P590" s="2" t="s">
        <v>804</v>
      </c>
      <c r="Q590" s="12" t="str">
        <f t="shared" si="125"/>
        <v>23</v>
      </c>
      <c r="R590" s="12" t="str">
        <f t="shared" si="126"/>
        <v>06</v>
      </c>
      <c r="S590" s="6" t="s">
        <v>129</v>
      </c>
      <c r="T590" s="1" t="s">
        <v>130</v>
      </c>
      <c r="U590" s="6" t="s">
        <v>148</v>
      </c>
      <c r="V590" s="1" t="s">
        <v>143</v>
      </c>
      <c r="W590" s="1" t="s">
        <v>133</v>
      </c>
      <c r="X590" s="5">
        <v>46224</v>
      </c>
      <c r="Y590" s="1">
        <f t="shared" si="127"/>
        <v>90</v>
      </c>
      <c r="Z590" s="5">
        <v>46224</v>
      </c>
      <c r="AA590" s="3"/>
      <c r="AB590" s="3"/>
      <c r="AD590" s="133" t="str">
        <f t="shared" si="128"/>
        <v>Closed In July</v>
      </c>
    </row>
    <row r="591" spans="1:30" hidden="1">
      <c r="A591" s="9">
        <v>46134</v>
      </c>
      <c r="B591" s="1">
        <v>2026</v>
      </c>
      <c r="C591" s="8" t="s">
        <v>26</v>
      </c>
      <c r="D591" s="11" t="s">
        <v>179</v>
      </c>
      <c r="E591" s="1"/>
      <c r="F591" s="1" t="s">
        <v>19</v>
      </c>
      <c r="G591" s="8" t="s">
        <v>180</v>
      </c>
      <c r="H591" s="8">
        <v>8248438488</v>
      </c>
      <c r="I591" s="10" t="s">
        <v>30</v>
      </c>
      <c r="J591" s="8" t="s">
        <v>181</v>
      </c>
      <c r="K591" s="8" t="s">
        <v>27</v>
      </c>
      <c r="L591" s="8" t="s">
        <v>28</v>
      </c>
      <c r="M591" s="2" t="s">
        <v>146</v>
      </c>
      <c r="N591" s="6" t="s">
        <v>138</v>
      </c>
      <c r="O591" s="11">
        <v>550</v>
      </c>
      <c r="P591" s="2" t="s">
        <v>805</v>
      </c>
      <c r="Q591" s="12" t="str">
        <f t="shared" si="125"/>
        <v>23</v>
      </c>
      <c r="R591" s="12" t="str">
        <f t="shared" si="126"/>
        <v>05</v>
      </c>
      <c r="S591" s="6" t="s">
        <v>129</v>
      </c>
      <c r="T591" s="1" t="s">
        <v>130</v>
      </c>
      <c r="U591" s="6" t="s">
        <v>148</v>
      </c>
      <c r="V591" s="1" t="s">
        <v>143</v>
      </c>
      <c r="W591" s="1" t="s">
        <v>133</v>
      </c>
      <c r="X591" s="5">
        <v>46224</v>
      </c>
      <c r="Y591" s="1">
        <f t="shared" si="127"/>
        <v>90</v>
      </c>
      <c r="Z591" s="5">
        <v>46224</v>
      </c>
      <c r="AA591" s="3"/>
      <c r="AB591" s="3"/>
      <c r="AD591" s="133" t="str">
        <f t="shared" si="128"/>
        <v>Closed In July</v>
      </c>
    </row>
    <row r="592" spans="1:30" hidden="1">
      <c r="A592" s="9">
        <v>46134</v>
      </c>
      <c r="B592" s="1">
        <v>2026</v>
      </c>
      <c r="C592" s="8" t="s">
        <v>26</v>
      </c>
      <c r="D592" s="11" t="s">
        <v>179</v>
      </c>
      <c r="E592" s="1"/>
      <c r="F592" s="1" t="s">
        <v>19</v>
      </c>
      <c r="G592" s="8" t="s">
        <v>180</v>
      </c>
      <c r="H592" s="8">
        <v>8248438488</v>
      </c>
      <c r="I592" s="10" t="s">
        <v>30</v>
      </c>
      <c r="J592" s="8" t="s">
        <v>181</v>
      </c>
      <c r="K592" s="8" t="s">
        <v>27</v>
      </c>
      <c r="L592" s="8" t="s">
        <v>28</v>
      </c>
      <c r="M592" s="2" t="s">
        <v>806</v>
      </c>
      <c r="N592" s="6" t="s">
        <v>138</v>
      </c>
      <c r="O592" s="11">
        <v>550</v>
      </c>
      <c r="P592" s="2" t="s">
        <v>807</v>
      </c>
      <c r="Q592" s="12" t="str">
        <f t="shared" si="125"/>
        <v>23</v>
      </c>
      <c r="R592" s="12" t="str">
        <f t="shared" si="126"/>
        <v>05</v>
      </c>
      <c r="S592" s="6" t="s">
        <v>129</v>
      </c>
      <c r="T592" s="1" t="s">
        <v>130</v>
      </c>
      <c r="U592" s="6" t="s">
        <v>154</v>
      </c>
      <c r="V592" s="1" t="s">
        <v>143</v>
      </c>
      <c r="W592" s="1" t="s">
        <v>133</v>
      </c>
      <c r="X592" s="5">
        <v>46224</v>
      </c>
      <c r="Y592" s="1">
        <f t="shared" si="127"/>
        <v>90</v>
      </c>
      <c r="Z592" s="5">
        <v>46224</v>
      </c>
      <c r="AA592" s="3"/>
      <c r="AB592" s="3"/>
      <c r="AD592" s="133" t="str">
        <f t="shared" si="128"/>
        <v>Closed In July</v>
      </c>
    </row>
    <row r="593" spans="1:30" hidden="1">
      <c r="A593" s="9">
        <v>46134</v>
      </c>
      <c r="B593" s="1">
        <v>2026</v>
      </c>
      <c r="C593" s="8" t="s">
        <v>26</v>
      </c>
      <c r="D593" s="11" t="s">
        <v>179</v>
      </c>
      <c r="E593" s="1"/>
      <c r="F593" s="1" t="s">
        <v>19</v>
      </c>
      <c r="G593" s="8" t="s">
        <v>180</v>
      </c>
      <c r="H593" s="8">
        <v>8248438488</v>
      </c>
      <c r="I593" s="10" t="s">
        <v>30</v>
      </c>
      <c r="J593" s="8" t="s">
        <v>181</v>
      </c>
      <c r="K593" s="8" t="s">
        <v>27</v>
      </c>
      <c r="L593" s="8" t="s">
        <v>28</v>
      </c>
      <c r="M593" s="2" t="s">
        <v>146</v>
      </c>
      <c r="N593" s="6" t="s">
        <v>138</v>
      </c>
      <c r="O593" s="11">
        <v>550</v>
      </c>
      <c r="P593" s="2" t="s">
        <v>808</v>
      </c>
      <c r="Q593" s="12" t="str">
        <f t="shared" si="125"/>
        <v>23</v>
      </c>
      <c r="R593" s="12" t="str">
        <f t="shared" si="126"/>
        <v>05</v>
      </c>
      <c r="S593" s="6" t="s">
        <v>129</v>
      </c>
      <c r="T593" s="1" t="s">
        <v>130</v>
      </c>
      <c r="U593" s="6" t="s">
        <v>148</v>
      </c>
      <c r="V593" s="1" t="s">
        <v>143</v>
      </c>
      <c r="W593" s="1" t="s">
        <v>133</v>
      </c>
      <c r="X593" s="5">
        <v>46224</v>
      </c>
      <c r="Y593" s="1">
        <f t="shared" si="127"/>
        <v>90</v>
      </c>
      <c r="Z593" s="5">
        <v>46224</v>
      </c>
      <c r="AA593" s="3"/>
      <c r="AB593" s="3"/>
      <c r="AD593" s="133" t="str">
        <f t="shared" si="128"/>
        <v>Closed In July</v>
      </c>
    </row>
    <row r="594" spans="1:30" hidden="1">
      <c r="A594" s="9">
        <v>46134</v>
      </c>
      <c r="B594" s="1">
        <v>2026</v>
      </c>
      <c r="C594" s="8" t="s">
        <v>26</v>
      </c>
      <c r="D594" s="11" t="s">
        <v>179</v>
      </c>
      <c r="E594" s="1"/>
      <c r="F594" s="1" t="s">
        <v>19</v>
      </c>
      <c r="G594" s="8" t="s">
        <v>180</v>
      </c>
      <c r="H594" s="8">
        <v>8248438488</v>
      </c>
      <c r="I594" s="10" t="s">
        <v>30</v>
      </c>
      <c r="J594" s="8" t="s">
        <v>181</v>
      </c>
      <c r="K594" s="8" t="s">
        <v>27</v>
      </c>
      <c r="L594" s="8" t="s">
        <v>28</v>
      </c>
      <c r="M594" s="2" t="s">
        <v>146</v>
      </c>
      <c r="N594" s="6" t="s">
        <v>138</v>
      </c>
      <c r="O594" s="11">
        <v>550</v>
      </c>
      <c r="P594" s="2" t="s">
        <v>809</v>
      </c>
      <c r="Q594" s="12" t="str">
        <f t="shared" si="125"/>
        <v>23</v>
      </c>
      <c r="R594" s="12" t="str">
        <f t="shared" si="126"/>
        <v>05</v>
      </c>
      <c r="S594" s="6" t="s">
        <v>129</v>
      </c>
      <c r="T594" s="1" t="s">
        <v>130</v>
      </c>
      <c r="U594" s="6" t="s">
        <v>148</v>
      </c>
      <c r="V594" s="1" t="s">
        <v>143</v>
      </c>
      <c r="W594" s="1" t="s">
        <v>133</v>
      </c>
      <c r="X594" s="5">
        <v>46224</v>
      </c>
      <c r="Y594" s="1">
        <f t="shared" si="127"/>
        <v>90</v>
      </c>
      <c r="Z594" s="5">
        <v>46224</v>
      </c>
      <c r="AA594" s="3"/>
      <c r="AB594" s="3"/>
      <c r="AD594" s="133" t="str">
        <f t="shared" si="128"/>
        <v>Closed In July</v>
      </c>
    </row>
    <row r="595" spans="1:30" hidden="1">
      <c r="A595" s="9">
        <v>46134</v>
      </c>
      <c r="B595" s="1">
        <v>2026</v>
      </c>
      <c r="C595" s="8" t="s">
        <v>26</v>
      </c>
      <c r="D595" s="11" t="s">
        <v>179</v>
      </c>
      <c r="E595" s="1"/>
      <c r="F595" s="1" t="s">
        <v>19</v>
      </c>
      <c r="G595" s="8" t="s">
        <v>180</v>
      </c>
      <c r="H595" s="8">
        <v>8248438488</v>
      </c>
      <c r="I595" s="10" t="s">
        <v>30</v>
      </c>
      <c r="J595" s="8" t="s">
        <v>181</v>
      </c>
      <c r="K595" s="8" t="s">
        <v>27</v>
      </c>
      <c r="L595" s="8" t="s">
        <v>28</v>
      </c>
      <c r="M595" s="2" t="s">
        <v>146</v>
      </c>
      <c r="N595" s="6" t="s">
        <v>138</v>
      </c>
      <c r="O595" s="11">
        <v>550</v>
      </c>
      <c r="P595" s="2" t="s">
        <v>810</v>
      </c>
      <c r="Q595" s="12" t="str">
        <f t="shared" ref="Q595" si="129">MID(P595,5,2)</f>
        <v>23</v>
      </c>
      <c r="R595" s="12" t="str">
        <f t="shared" ref="R595" si="130">MID(P595,7,2)</f>
        <v>06</v>
      </c>
      <c r="S595" s="6" t="s">
        <v>129</v>
      </c>
      <c r="T595" s="1" t="s">
        <v>130</v>
      </c>
      <c r="U595" s="6" t="s">
        <v>148</v>
      </c>
      <c r="V595" s="1" t="s">
        <v>143</v>
      </c>
      <c r="W595" s="1" t="s">
        <v>133</v>
      </c>
      <c r="X595" s="5">
        <v>46225</v>
      </c>
      <c r="Y595" s="1">
        <f t="shared" ref="Y595:Y658" si="131">X595-A595</f>
        <v>91</v>
      </c>
      <c r="Z595" s="5">
        <v>46225</v>
      </c>
      <c r="AA595" s="3"/>
      <c r="AB595" s="3"/>
      <c r="AD595" s="133" t="str">
        <f t="shared" si="128"/>
        <v>Closed In July</v>
      </c>
    </row>
    <row r="596" spans="1:30" hidden="1">
      <c r="A596" s="9">
        <v>46134</v>
      </c>
      <c r="B596" s="1">
        <v>2026</v>
      </c>
      <c r="C596" s="8" t="s">
        <v>26</v>
      </c>
      <c r="D596" s="11" t="s">
        <v>179</v>
      </c>
      <c r="E596" s="1"/>
      <c r="F596" s="1" t="s">
        <v>19</v>
      </c>
      <c r="G596" s="8" t="s">
        <v>180</v>
      </c>
      <c r="H596" s="8">
        <v>8248438488</v>
      </c>
      <c r="I596" s="10" t="s">
        <v>30</v>
      </c>
      <c r="J596" s="8" t="s">
        <v>181</v>
      </c>
      <c r="K596" s="8" t="s">
        <v>27</v>
      </c>
      <c r="L596" s="8" t="s">
        <v>28</v>
      </c>
      <c r="M596" s="2" t="s">
        <v>152</v>
      </c>
      <c r="N596" s="6" t="s">
        <v>138</v>
      </c>
      <c r="O596" s="11">
        <v>550</v>
      </c>
      <c r="P596" s="2" t="s">
        <v>811</v>
      </c>
      <c r="Q596" s="12" t="str">
        <f t="shared" ref="Q596:Q659" si="132">MID(P596,5,2)</f>
        <v>23</v>
      </c>
      <c r="R596" s="12" t="str">
        <f t="shared" ref="R596:R659" si="133">MID(P596,7,2)</f>
        <v>07</v>
      </c>
      <c r="S596" s="6" t="s">
        <v>129</v>
      </c>
      <c r="T596" s="1" t="s">
        <v>130</v>
      </c>
      <c r="U596" s="6" t="s">
        <v>154</v>
      </c>
      <c r="V596" s="1" t="s">
        <v>143</v>
      </c>
      <c r="W596" s="1" t="s">
        <v>133</v>
      </c>
      <c r="X596" s="5">
        <v>46225</v>
      </c>
      <c r="Y596" s="1">
        <f t="shared" si="131"/>
        <v>91</v>
      </c>
      <c r="Z596" s="5">
        <v>46225</v>
      </c>
      <c r="AA596" s="3"/>
      <c r="AB596" s="3"/>
      <c r="AD596" s="133" t="str">
        <f t="shared" si="128"/>
        <v>Closed In July</v>
      </c>
    </row>
    <row r="597" spans="1:30" hidden="1">
      <c r="A597" s="9">
        <v>46134</v>
      </c>
      <c r="B597" s="1">
        <v>2026</v>
      </c>
      <c r="C597" s="8" t="s">
        <v>26</v>
      </c>
      <c r="D597" s="11" t="s">
        <v>179</v>
      </c>
      <c r="E597" s="1"/>
      <c r="F597" s="1" t="s">
        <v>19</v>
      </c>
      <c r="G597" s="8" t="s">
        <v>180</v>
      </c>
      <c r="H597" s="8">
        <v>8248438488</v>
      </c>
      <c r="I597" s="10" t="s">
        <v>30</v>
      </c>
      <c r="J597" s="8" t="s">
        <v>181</v>
      </c>
      <c r="K597" s="8" t="s">
        <v>27</v>
      </c>
      <c r="L597" s="8" t="s">
        <v>28</v>
      </c>
      <c r="M597" s="2" t="s">
        <v>137</v>
      </c>
      <c r="N597" s="6" t="s">
        <v>138</v>
      </c>
      <c r="O597" s="11">
        <v>550</v>
      </c>
      <c r="P597" s="2" t="s">
        <v>812</v>
      </c>
      <c r="Q597" s="12" t="str">
        <f t="shared" si="132"/>
        <v>23</v>
      </c>
      <c r="R597" s="12" t="str">
        <f t="shared" si="133"/>
        <v>05</v>
      </c>
      <c r="S597" s="6" t="s">
        <v>129</v>
      </c>
      <c r="T597" s="1" t="s">
        <v>130</v>
      </c>
      <c r="U597" s="6" t="s">
        <v>142</v>
      </c>
      <c r="V597" s="1" t="s">
        <v>143</v>
      </c>
      <c r="W597" s="1" t="s">
        <v>133</v>
      </c>
      <c r="X597" s="5">
        <v>46225</v>
      </c>
      <c r="Y597" s="1">
        <f t="shared" si="131"/>
        <v>91</v>
      </c>
      <c r="Z597" s="5">
        <v>46225</v>
      </c>
      <c r="AA597" s="3"/>
      <c r="AB597" s="3"/>
      <c r="AD597" s="133" t="str">
        <f t="shared" si="128"/>
        <v>Closed In July</v>
      </c>
    </row>
    <row r="598" spans="1:30" hidden="1">
      <c r="A598" s="9">
        <v>46134</v>
      </c>
      <c r="B598" s="1">
        <v>2026</v>
      </c>
      <c r="C598" s="8" t="s">
        <v>26</v>
      </c>
      <c r="D598" s="11" t="s">
        <v>179</v>
      </c>
      <c r="E598" s="1"/>
      <c r="F598" s="1" t="s">
        <v>19</v>
      </c>
      <c r="G598" s="8" t="s">
        <v>180</v>
      </c>
      <c r="H598" s="8">
        <v>8248438488</v>
      </c>
      <c r="I598" s="10" t="s">
        <v>30</v>
      </c>
      <c r="J598" s="8" t="s">
        <v>181</v>
      </c>
      <c r="K598" s="8" t="s">
        <v>27</v>
      </c>
      <c r="L598" s="8" t="s">
        <v>28</v>
      </c>
      <c r="M598" s="2" t="s">
        <v>137</v>
      </c>
      <c r="N598" s="6" t="s">
        <v>138</v>
      </c>
      <c r="O598" s="11">
        <v>550</v>
      </c>
      <c r="P598" s="2" t="s">
        <v>813</v>
      </c>
      <c r="Q598" s="12" t="str">
        <f t="shared" si="132"/>
        <v>23</v>
      </c>
      <c r="R598" s="12" t="str">
        <f t="shared" si="133"/>
        <v>05</v>
      </c>
      <c r="S598" s="6" t="s">
        <v>129</v>
      </c>
      <c r="T598" s="1" t="s">
        <v>130</v>
      </c>
      <c r="U598" s="6" t="s">
        <v>142</v>
      </c>
      <c r="V598" s="1" t="s">
        <v>143</v>
      </c>
      <c r="W598" s="1" t="s">
        <v>133</v>
      </c>
      <c r="X598" s="5">
        <v>46225</v>
      </c>
      <c r="Y598" s="1">
        <f t="shared" si="131"/>
        <v>91</v>
      </c>
      <c r="Z598" s="5">
        <v>46225</v>
      </c>
      <c r="AA598" s="3"/>
      <c r="AB598" s="3"/>
      <c r="AD598" s="133" t="str">
        <f t="shared" si="128"/>
        <v>Closed In July</v>
      </c>
    </row>
    <row r="599" spans="1:30" hidden="1">
      <c r="A599" s="9">
        <v>46134</v>
      </c>
      <c r="B599" s="1">
        <v>2026</v>
      </c>
      <c r="C599" s="8" t="s">
        <v>26</v>
      </c>
      <c r="D599" s="11" t="s">
        <v>179</v>
      </c>
      <c r="E599" s="1"/>
      <c r="F599" s="1" t="s">
        <v>19</v>
      </c>
      <c r="G599" s="8" t="s">
        <v>180</v>
      </c>
      <c r="H599" s="8">
        <v>8248438488</v>
      </c>
      <c r="I599" s="10" t="s">
        <v>30</v>
      </c>
      <c r="J599" s="8" t="s">
        <v>181</v>
      </c>
      <c r="K599" s="8" t="s">
        <v>27</v>
      </c>
      <c r="L599" s="8" t="s">
        <v>28</v>
      </c>
      <c r="M599" s="2" t="s">
        <v>137</v>
      </c>
      <c r="N599" s="6" t="s">
        <v>138</v>
      </c>
      <c r="O599" s="11">
        <v>550</v>
      </c>
      <c r="P599" s="2" t="s">
        <v>814</v>
      </c>
      <c r="Q599" s="12" t="str">
        <f t="shared" si="132"/>
        <v>23</v>
      </c>
      <c r="R599" s="12" t="str">
        <f t="shared" si="133"/>
        <v>05</v>
      </c>
      <c r="S599" s="6" t="s">
        <v>129</v>
      </c>
      <c r="T599" s="1" t="s">
        <v>130</v>
      </c>
      <c r="U599" s="6" t="s">
        <v>142</v>
      </c>
      <c r="V599" s="1" t="s">
        <v>143</v>
      </c>
      <c r="W599" s="1" t="s">
        <v>133</v>
      </c>
      <c r="X599" s="5">
        <v>46225</v>
      </c>
      <c r="Y599" s="1">
        <f t="shared" si="131"/>
        <v>91</v>
      </c>
      <c r="Z599" s="5">
        <v>46225</v>
      </c>
      <c r="AA599" s="3"/>
      <c r="AB599" s="3"/>
      <c r="AD599" s="133" t="str">
        <f t="shared" si="128"/>
        <v>Closed In July</v>
      </c>
    </row>
    <row r="600" spans="1:30" hidden="1">
      <c r="A600" s="9">
        <v>46134</v>
      </c>
      <c r="B600" s="1">
        <v>2026</v>
      </c>
      <c r="C600" s="8" t="s">
        <v>26</v>
      </c>
      <c r="D600" s="11" t="s">
        <v>179</v>
      </c>
      <c r="E600" s="1"/>
      <c r="F600" s="1" t="s">
        <v>19</v>
      </c>
      <c r="G600" s="8" t="s">
        <v>180</v>
      </c>
      <c r="H600" s="8">
        <v>8248438488</v>
      </c>
      <c r="I600" s="10" t="s">
        <v>30</v>
      </c>
      <c r="J600" s="8" t="s">
        <v>181</v>
      </c>
      <c r="K600" s="8" t="s">
        <v>27</v>
      </c>
      <c r="L600" s="8" t="s">
        <v>28</v>
      </c>
      <c r="M600" s="2" t="s">
        <v>137</v>
      </c>
      <c r="N600" s="6" t="s">
        <v>138</v>
      </c>
      <c r="O600" s="11">
        <v>550</v>
      </c>
      <c r="P600" s="2" t="s">
        <v>815</v>
      </c>
      <c r="Q600" s="12" t="str">
        <f t="shared" si="132"/>
        <v>23</v>
      </c>
      <c r="R600" s="12" t="str">
        <f t="shared" si="133"/>
        <v>05</v>
      </c>
      <c r="S600" s="6" t="s">
        <v>129</v>
      </c>
      <c r="T600" s="1" t="s">
        <v>130</v>
      </c>
      <c r="U600" s="6" t="s">
        <v>142</v>
      </c>
      <c r="V600" s="1" t="s">
        <v>143</v>
      </c>
      <c r="W600" s="1" t="s">
        <v>133</v>
      </c>
      <c r="X600" s="5">
        <v>46225</v>
      </c>
      <c r="Y600" s="1">
        <f t="shared" si="131"/>
        <v>91</v>
      </c>
      <c r="Z600" s="5">
        <v>46225</v>
      </c>
      <c r="AA600" s="3"/>
      <c r="AB600" s="3"/>
      <c r="AD600" s="133" t="str">
        <f t="shared" si="128"/>
        <v>Closed In July</v>
      </c>
    </row>
    <row r="601" spans="1:30" hidden="1">
      <c r="A601" s="9">
        <v>46134</v>
      </c>
      <c r="B601" s="1">
        <v>2026</v>
      </c>
      <c r="C601" s="8" t="s">
        <v>26</v>
      </c>
      <c r="D601" s="11" t="s">
        <v>179</v>
      </c>
      <c r="E601" s="1"/>
      <c r="F601" s="1" t="s">
        <v>19</v>
      </c>
      <c r="G601" s="8" t="s">
        <v>180</v>
      </c>
      <c r="H601" s="8">
        <v>8248438488</v>
      </c>
      <c r="I601" s="10" t="s">
        <v>30</v>
      </c>
      <c r="J601" s="8" t="s">
        <v>181</v>
      </c>
      <c r="K601" s="8" t="s">
        <v>27</v>
      </c>
      <c r="L601" s="8" t="s">
        <v>28</v>
      </c>
      <c r="M601" s="2" t="s">
        <v>146</v>
      </c>
      <c r="N601" s="6" t="s">
        <v>138</v>
      </c>
      <c r="O601" s="11">
        <v>550</v>
      </c>
      <c r="P601" s="2" t="s">
        <v>816</v>
      </c>
      <c r="Q601" s="12" t="str">
        <f t="shared" si="132"/>
        <v>23</v>
      </c>
      <c r="R601" s="12" t="str">
        <f t="shared" si="133"/>
        <v>05</v>
      </c>
      <c r="S601" s="6" t="s">
        <v>129</v>
      </c>
      <c r="T601" s="1" t="s">
        <v>130</v>
      </c>
      <c r="U601" s="6" t="s">
        <v>148</v>
      </c>
      <c r="V601" s="1" t="s">
        <v>143</v>
      </c>
      <c r="W601" s="1" t="s">
        <v>133</v>
      </c>
      <c r="X601" s="5">
        <v>46225</v>
      </c>
      <c r="Y601" s="1">
        <f t="shared" si="131"/>
        <v>91</v>
      </c>
      <c r="Z601" s="5">
        <v>46225</v>
      </c>
      <c r="AA601" s="3"/>
      <c r="AB601" s="3"/>
      <c r="AD601" s="133" t="str">
        <f t="shared" si="128"/>
        <v>Closed In July</v>
      </c>
    </row>
    <row r="602" spans="1:30" hidden="1">
      <c r="A602" s="9">
        <v>46134</v>
      </c>
      <c r="B602" s="1">
        <v>2026</v>
      </c>
      <c r="C602" s="8" t="s">
        <v>26</v>
      </c>
      <c r="D602" s="11" t="s">
        <v>179</v>
      </c>
      <c r="E602" s="1"/>
      <c r="F602" s="1" t="s">
        <v>19</v>
      </c>
      <c r="G602" s="8" t="s">
        <v>180</v>
      </c>
      <c r="H602" s="8">
        <v>8248438488</v>
      </c>
      <c r="I602" s="10" t="s">
        <v>30</v>
      </c>
      <c r="J602" s="8" t="s">
        <v>181</v>
      </c>
      <c r="K602" s="8" t="s">
        <v>27</v>
      </c>
      <c r="L602" s="8" t="s">
        <v>28</v>
      </c>
      <c r="M602" s="2" t="s">
        <v>146</v>
      </c>
      <c r="N602" s="6" t="s">
        <v>138</v>
      </c>
      <c r="O602" s="11">
        <v>550</v>
      </c>
      <c r="P602" s="2" t="s">
        <v>817</v>
      </c>
      <c r="Q602" s="12" t="str">
        <f t="shared" si="132"/>
        <v>23</v>
      </c>
      <c r="R602" s="12" t="str">
        <f t="shared" si="133"/>
        <v>06</v>
      </c>
      <c r="S602" s="6" t="s">
        <v>129</v>
      </c>
      <c r="T602" s="1" t="s">
        <v>130</v>
      </c>
      <c r="U602" s="6" t="s">
        <v>148</v>
      </c>
      <c r="V602" s="1" t="s">
        <v>143</v>
      </c>
      <c r="W602" s="1" t="s">
        <v>133</v>
      </c>
      <c r="X602" s="5">
        <v>46225</v>
      </c>
      <c r="Y602" s="1">
        <f t="shared" si="131"/>
        <v>91</v>
      </c>
      <c r="Z602" s="5">
        <v>46225</v>
      </c>
      <c r="AA602" s="3"/>
      <c r="AB602" s="3"/>
      <c r="AD602" s="133" t="str">
        <f t="shared" si="128"/>
        <v>Closed In July</v>
      </c>
    </row>
    <row r="603" spans="1:30" hidden="1">
      <c r="A603" s="9">
        <v>46134</v>
      </c>
      <c r="B603" s="1">
        <v>2026</v>
      </c>
      <c r="C603" s="8" t="s">
        <v>26</v>
      </c>
      <c r="D603" s="11" t="s">
        <v>179</v>
      </c>
      <c r="E603" s="1"/>
      <c r="F603" s="1" t="s">
        <v>19</v>
      </c>
      <c r="G603" s="8" t="s">
        <v>180</v>
      </c>
      <c r="H603" s="8">
        <v>8248438488</v>
      </c>
      <c r="I603" s="10" t="s">
        <v>30</v>
      </c>
      <c r="J603" s="8" t="s">
        <v>181</v>
      </c>
      <c r="K603" s="8" t="s">
        <v>27</v>
      </c>
      <c r="L603" s="8" t="s">
        <v>28</v>
      </c>
      <c r="M603" s="2" t="s">
        <v>137</v>
      </c>
      <c r="N603" s="6" t="s">
        <v>138</v>
      </c>
      <c r="O603" s="11">
        <v>550</v>
      </c>
      <c r="P603" s="2" t="s">
        <v>818</v>
      </c>
      <c r="Q603" s="12" t="str">
        <f t="shared" si="132"/>
        <v>23</v>
      </c>
      <c r="R603" s="12" t="str">
        <f t="shared" si="133"/>
        <v>05</v>
      </c>
      <c r="S603" s="6" t="s">
        <v>129</v>
      </c>
      <c r="T603" s="1" t="s">
        <v>130</v>
      </c>
      <c r="U603" s="6" t="s">
        <v>142</v>
      </c>
      <c r="V603" s="1" t="s">
        <v>143</v>
      </c>
      <c r="W603" s="1" t="s">
        <v>133</v>
      </c>
      <c r="X603" s="5">
        <v>46225</v>
      </c>
      <c r="Y603" s="1">
        <f t="shared" si="131"/>
        <v>91</v>
      </c>
      <c r="Z603" s="5">
        <v>46225</v>
      </c>
      <c r="AA603" s="3"/>
      <c r="AB603" s="3"/>
      <c r="AD603" s="133" t="str">
        <f t="shared" si="128"/>
        <v>Closed In July</v>
      </c>
    </row>
    <row r="604" spans="1:30" hidden="1">
      <c r="A604" s="9">
        <v>46134</v>
      </c>
      <c r="B604" s="1">
        <v>2026</v>
      </c>
      <c r="C604" s="8" t="s">
        <v>26</v>
      </c>
      <c r="D604" s="11" t="s">
        <v>179</v>
      </c>
      <c r="E604" s="1"/>
      <c r="F604" s="1" t="s">
        <v>19</v>
      </c>
      <c r="G604" s="8" t="s">
        <v>180</v>
      </c>
      <c r="H604" s="8">
        <v>8248438488</v>
      </c>
      <c r="I604" s="10" t="s">
        <v>30</v>
      </c>
      <c r="J604" s="8" t="s">
        <v>181</v>
      </c>
      <c r="K604" s="8" t="s">
        <v>27</v>
      </c>
      <c r="L604" s="8" t="s">
        <v>28</v>
      </c>
      <c r="M604" s="2" t="s">
        <v>137</v>
      </c>
      <c r="N604" s="6" t="s">
        <v>138</v>
      </c>
      <c r="O604" s="11">
        <v>550</v>
      </c>
      <c r="P604" s="2" t="s">
        <v>819</v>
      </c>
      <c r="Q604" s="12" t="str">
        <f t="shared" si="132"/>
        <v>23</v>
      </c>
      <c r="R604" s="12" t="str">
        <f t="shared" si="133"/>
        <v>05</v>
      </c>
      <c r="S604" s="6" t="s">
        <v>129</v>
      </c>
      <c r="T604" s="1" t="s">
        <v>130</v>
      </c>
      <c r="U604" s="6" t="s">
        <v>142</v>
      </c>
      <c r="V604" s="1" t="s">
        <v>143</v>
      </c>
      <c r="W604" s="1" t="s">
        <v>133</v>
      </c>
      <c r="X604" s="5">
        <v>46225</v>
      </c>
      <c r="Y604" s="1">
        <f t="shared" si="131"/>
        <v>91</v>
      </c>
      <c r="Z604" s="5">
        <v>46225</v>
      </c>
      <c r="AA604" s="3"/>
      <c r="AB604" s="3"/>
      <c r="AD604" s="133" t="str">
        <f t="shared" si="128"/>
        <v>Closed In July</v>
      </c>
    </row>
    <row r="605" spans="1:30" hidden="1">
      <c r="A605" s="9">
        <v>46134</v>
      </c>
      <c r="B605" s="1">
        <v>2026</v>
      </c>
      <c r="C605" s="8" t="s">
        <v>26</v>
      </c>
      <c r="D605" s="11" t="s">
        <v>179</v>
      </c>
      <c r="E605" s="1"/>
      <c r="F605" s="1" t="s">
        <v>19</v>
      </c>
      <c r="G605" s="8" t="s">
        <v>180</v>
      </c>
      <c r="H605" s="8">
        <v>8248438488</v>
      </c>
      <c r="I605" s="10" t="s">
        <v>30</v>
      </c>
      <c r="J605" s="8" t="s">
        <v>181</v>
      </c>
      <c r="K605" s="8" t="s">
        <v>27</v>
      </c>
      <c r="L605" s="8" t="s">
        <v>28</v>
      </c>
      <c r="M605" s="2" t="s">
        <v>146</v>
      </c>
      <c r="N605" s="6" t="s">
        <v>138</v>
      </c>
      <c r="O605" s="11">
        <v>550</v>
      </c>
      <c r="P605" s="2" t="s">
        <v>820</v>
      </c>
      <c r="Q605" s="12" t="str">
        <f t="shared" si="132"/>
        <v>23</v>
      </c>
      <c r="R605" s="12" t="str">
        <f t="shared" si="133"/>
        <v>06</v>
      </c>
      <c r="S605" s="6" t="s">
        <v>129</v>
      </c>
      <c r="T605" s="1" t="s">
        <v>130</v>
      </c>
      <c r="U605" s="6" t="s">
        <v>148</v>
      </c>
      <c r="V605" s="1" t="s">
        <v>143</v>
      </c>
      <c r="W605" s="1" t="s">
        <v>133</v>
      </c>
      <c r="X605" s="5">
        <v>46225</v>
      </c>
      <c r="Y605" s="1">
        <f t="shared" si="131"/>
        <v>91</v>
      </c>
      <c r="Z605" s="5">
        <v>46225</v>
      </c>
      <c r="AA605" s="3"/>
      <c r="AB605" s="3"/>
      <c r="AD605" s="133" t="str">
        <f t="shared" si="128"/>
        <v>Closed In July</v>
      </c>
    </row>
    <row r="606" spans="1:30" hidden="1">
      <c r="A606" s="9">
        <v>46134</v>
      </c>
      <c r="B606" s="1">
        <v>2026</v>
      </c>
      <c r="C606" s="8" t="s">
        <v>26</v>
      </c>
      <c r="D606" s="11" t="s">
        <v>179</v>
      </c>
      <c r="E606" s="1"/>
      <c r="F606" s="1" t="s">
        <v>19</v>
      </c>
      <c r="G606" s="8" t="s">
        <v>180</v>
      </c>
      <c r="H606" s="8">
        <v>8248438488</v>
      </c>
      <c r="I606" s="10" t="s">
        <v>30</v>
      </c>
      <c r="J606" s="8" t="s">
        <v>181</v>
      </c>
      <c r="K606" s="8" t="s">
        <v>27</v>
      </c>
      <c r="L606" s="8" t="s">
        <v>28</v>
      </c>
      <c r="M606" s="23" t="s">
        <v>254</v>
      </c>
      <c r="N606" s="6" t="s">
        <v>255</v>
      </c>
      <c r="O606" s="11">
        <v>550</v>
      </c>
      <c r="P606" s="2" t="s">
        <v>821</v>
      </c>
      <c r="Q606" s="12" t="str">
        <f t="shared" si="132"/>
        <v>23</v>
      </c>
      <c r="R606" s="12" t="str">
        <f t="shared" si="133"/>
        <v>05</v>
      </c>
      <c r="S606" s="6" t="s">
        <v>129</v>
      </c>
      <c r="T606" s="1" t="s">
        <v>130</v>
      </c>
      <c r="U606" s="6" t="s">
        <v>257</v>
      </c>
      <c r="V606" s="1" t="s">
        <v>258</v>
      </c>
      <c r="W606" s="1" t="s">
        <v>259</v>
      </c>
      <c r="X606" s="5">
        <v>46225</v>
      </c>
      <c r="Y606" s="1">
        <f t="shared" si="131"/>
        <v>91</v>
      </c>
      <c r="Z606" s="5">
        <v>46225</v>
      </c>
      <c r="AA606" s="3"/>
      <c r="AB606" s="3"/>
      <c r="AD606" s="133" t="str">
        <f t="shared" si="128"/>
        <v>Closed In July</v>
      </c>
    </row>
    <row r="607" spans="1:30" hidden="1">
      <c r="A607" s="9">
        <v>46134</v>
      </c>
      <c r="B607" s="1">
        <v>2026</v>
      </c>
      <c r="C607" s="8" t="s">
        <v>26</v>
      </c>
      <c r="D607" s="11" t="s">
        <v>179</v>
      </c>
      <c r="E607" s="1"/>
      <c r="F607" s="1" t="s">
        <v>19</v>
      </c>
      <c r="G607" s="8" t="s">
        <v>180</v>
      </c>
      <c r="H607" s="8">
        <v>8248438488</v>
      </c>
      <c r="I607" s="10" t="s">
        <v>30</v>
      </c>
      <c r="J607" s="8" t="s">
        <v>181</v>
      </c>
      <c r="K607" s="8" t="s">
        <v>27</v>
      </c>
      <c r="L607" s="8" t="s">
        <v>28</v>
      </c>
      <c r="M607" s="2" t="s">
        <v>137</v>
      </c>
      <c r="N607" s="6" t="s">
        <v>138</v>
      </c>
      <c r="O607" s="11">
        <v>550</v>
      </c>
      <c r="P607" s="2" t="s">
        <v>822</v>
      </c>
      <c r="Q607" s="12" t="str">
        <f t="shared" si="132"/>
        <v>23</v>
      </c>
      <c r="R607" s="12" t="str">
        <f t="shared" si="133"/>
        <v>05</v>
      </c>
      <c r="S607" s="6" t="s">
        <v>129</v>
      </c>
      <c r="T607" s="1" t="s">
        <v>130</v>
      </c>
      <c r="U607" s="6" t="s">
        <v>142</v>
      </c>
      <c r="V607" s="1" t="s">
        <v>143</v>
      </c>
      <c r="W607" s="1" t="s">
        <v>133</v>
      </c>
      <c r="X607" s="5">
        <v>46225</v>
      </c>
      <c r="Y607" s="1">
        <f t="shared" si="131"/>
        <v>91</v>
      </c>
      <c r="Z607" s="5">
        <v>46225</v>
      </c>
      <c r="AA607" s="3"/>
      <c r="AB607" s="3"/>
      <c r="AD607" s="133" t="str">
        <f t="shared" si="128"/>
        <v>Closed In July</v>
      </c>
    </row>
    <row r="608" spans="1:30" hidden="1">
      <c r="A608" s="9">
        <v>46134</v>
      </c>
      <c r="B608" s="1">
        <v>2026</v>
      </c>
      <c r="C608" s="8" t="s">
        <v>26</v>
      </c>
      <c r="D608" s="11" t="s">
        <v>179</v>
      </c>
      <c r="E608" s="1"/>
      <c r="F608" s="1" t="s">
        <v>19</v>
      </c>
      <c r="G608" s="8" t="s">
        <v>180</v>
      </c>
      <c r="H608" s="8">
        <v>8248438488</v>
      </c>
      <c r="I608" s="10" t="s">
        <v>30</v>
      </c>
      <c r="J608" s="8" t="s">
        <v>181</v>
      </c>
      <c r="K608" s="8" t="s">
        <v>27</v>
      </c>
      <c r="L608" s="8" t="s">
        <v>28</v>
      </c>
      <c r="M608" s="2" t="s">
        <v>137</v>
      </c>
      <c r="N608" s="6" t="s">
        <v>138</v>
      </c>
      <c r="O608" s="11">
        <v>550</v>
      </c>
      <c r="P608" s="2" t="s">
        <v>823</v>
      </c>
      <c r="Q608" s="12" t="str">
        <f t="shared" si="132"/>
        <v>23</v>
      </c>
      <c r="R608" s="12" t="str">
        <f t="shared" si="133"/>
        <v>05</v>
      </c>
      <c r="S608" s="6" t="s">
        <v>129</v>
      </c>
      <c r="T608" s="1" t="s">
        <v>130</v>
      </c>
      <c r="U608" s="6" t="s">
        <v>142</v>
      </c>
      <c r="V608" s="1" t="s">
        <v>143</v>
      </c>
      <c r="W608" s="1" t="s">
        <v>133</v>
      </c>
      <c r="X608" s="5">
        <v>46225</v>
      </c>
      <c r="Y608" s="1">
        <f t="shared" si="131"/>
        <v>91</v>
      </c>
      <c r="Z608" s="5">
        <v>46225</v>
      </c>
      <c r="AA608" s="3"/>
      <c r="AB608" s="3"/>
      <c r="AD608" s="133" t="str">
        <f t="shared" si="128"/>
        <v>Closed In July</v>
      </c>
    </row>
    <row r="609" spans="1:30" hidden="1">
      <c r="A609" s="9">
        <v>46134</v>
      </c>
      <c r="B609" s="1">
        <v>2026</v>
      </c>
      <c r="C609" s="8" t="s">
        <v>26</v>
      </c>
      <c r="D609" s="11" t="s">
        <v>179</v>
      </c>
      <c r="E609" s="1"/>
      <c r="F609" s="1" t="s">
        <v>19</v>
      </c>
      <c r="G609" s="8" t="s">
        <v>180</v>
      </c>
      <c r="H609" s="8">
        <v>8248438488</v>
      </c>
      <c r="I609" s="10" t="s">
        <v>30</v>
      </c>
      <c r="J609" s="8" t="s">
        <v>181</v>
      </c>
      <c r="K609" s="8" t="s">
        <v>27</v>
      </c>
      <c r="L609" s="8" t="s">
        <v>28</v>
      </c>
      <c r="M609" s="2" t="s">
        <v>152</v>
      </c>
      <c r="N609" s="6" t="s">
        <v>138</v>
      </c>
      <c r="O609" s="11">
        <v>550</v>
      </c>
      <c r="P609" s="2" t="s">
        <v>824</v>
      </c>
      <c r="Q609" s="12" t="str">
        <f t="shared" si="132"/>
        <v>23</v>
      </c>
      <c r="R609" s="12" t="str">
        <f t="shared" si="133"/>
        <v>05</v>
      </c>
      <c r="S609" s="6" t="s">
        <v>129</v>
      </c>
      <c r="T609" s="1" t="s">
        <v>130</v>
      </c>
      <c r="U609" s="6" t="s">
        <v>154</v>
      </c>
      <c r="V609" s="1" t="s">
        <v>143</v>
      </c>
      <c r="W609" s="1" t="s">
        <v>133</v>
      </c>
      <c r="X609" s="5">
        <v>46225</v>
      </c>
      <c r="Y609" s="1">
        <f t="shared" si="131"/>
        <v>91</v>
      </c>
      <c r="Z609" s="5">
        <v>46225</v>
      </c>
      <c r="AA609" s="3"/>
      <c r="AB609" s="3"/>
      <c r="AD609" s="133" t="str">
        <f t="shared" si="128"/>
        <v>Closed In July</v>
      </c>
    </row>
    <row r="610" spans="1:30" hidden="1">
      <c r="A610" s="9">
        <v>46134</v>
      </c>
      <c r="B610" s="1">
        <v>2026</v>
      </c>
      <c r="C610" s="8" t="s">
        <v>26</v>
      </c>
      <c r="D610" s="11" t="s">
        <v>179</v>
      </c>
      <c r="E610" s="1"/>
      <c r="F610" s="1" t="s">
        <v>19</v>
      </c>
      <c r="G610" s="8" t="s">
        <v>180</v>
      </c>
      <c r="H610" s="8">
        <v>8248438488</v>
      </c>
      <c r="I610" s="10" t="s">
        <v>30</v>
      </c>
      <c r="J610" s="8" t="s">
        <v>181</v>
      </c>
      <c r="K610" s="8" t="s">
        <v>27</v>
      </c>
      <c r="L610" s="8" t="s">
        <v>28</v>
      </c>
      <c r="M610" s="2" t="s">
        <v>137</v>
      </c>
      <c r="N610" s="6" t="s">
        <v>138</v>
      </c>
      <c r="O610" s="11">
        <v>550</v>
      </c>
      <c r="P610" s="2" t="s">
        <v>825</v>
      </c>
      <c r="Q610" s="12" t="str">
        <f t="shared" si="132"/>
        <v>23</v>
      </c>
      <c r="R610" s="12" t="str">
        <f t="shared" si="133"/>
        <v>05</v>
      </c>
      <c r="S610" s="6" t="s">
        <v>129</v>
      </c>
      <c r="T610" s="1" t="s">
        <v>130</v>
      </c>
      <c r="U610" s="6" t="s">
        <v>142</v>
      </c>
      <c r="V610" s="1" t="s">
        <v>143</v>
      </c>
      <c r="W610" s="1" t="s">
        <v>133</v>
      </c>
      <c r="X610" s="5">
        <v>46225</v>
      </c>
      <c r="Y610" s="1">
        <f t="shared" si="131"/>
        <v>91</v>
      </c>
      <c r="Z610" s="5">
        <v>46225</v>
      </c>
      <c r="AA610" s="3"/>
      <c r="AB610" s="3"/>
      <c r="AD610" s="133" t="str">
        <f t="shared" si="128"/>
        <v>Closed In July</v>
      </c>
    </row>
    <row r="611" spans="1:30" hidden="1">
      <c r="A611" s="9">
        <v>46134</v>
      </c>
      <c r="B611" s="1">
        <v>2026</v>
      </c>
      <c r="C611" s="8" t="s">
        <v>26</v>
      </c>
      <c r="D611" s="11" t="s">
        <v>179</v>
      </c>
      <c r="E611" s="1"/>
      <c r="F611" s="1" t="s">
        <v>19</v>
      </c>
      <c r="G611" s="8" t="s">
        <v>180</v>
      </c>
      <c r="H611" s="8">
        <v>8248438488</v>
      </c>
      <c r="I611" s="10" t="s">
        <v>30</v>
      </c>
      <c r="J611" s="8" t="s">
        <v>181</v>
      </c>
      <c r="K611" s="8" t="s">
        <v>27</v>
      </c>
      <c r="L611" s="8" t="s">
        <v>28</v>
      </c>
      <c r="M611" s="2" t="s">
        <v>146</v>
      </c>
      <c r="N611" s="6" t="s">
        <v>138</v>
      </c>
      <c r="O611" s="11">
        <v>550</v>
      </c>
      <c r="P611" s="2" t="s">
        <v>826</v>
      </c>
      <c r="Q611" s="12" t="str">
        <f t="shared" si="132"/>
        <v>23</v>
      </c>
      <c r="R611" s="12" t="str">
        <f t="shared" si="133"/>
        <v>05</v>
      </c>
      <c r="S611" s="6" t="s">
        <v>129</v>
      </c>
      <c r="T611" s="1" t="s">
        <v>130</v>
      </c>
      <c r="U611" s="6" t="s">
        <v>148</v>
      </c>
      <c r="V611" s="1" t="s">
        <v>143</v>
      </c>
      <c r="W611" s="1" t="s">
        <v>133</v>
      </c>
      <c r="X611" s="5">
        <v>46225</v>
      </c>
      <c r="Y611" s="1">
        <f t="shared" si="131"/>
        <v>91</v>
      </c>
      <c r="Z611" s="5">
        <v>46225</v>
      </c>
      <c r="AA611" s="3"/>
      <c r="AB611" s="3"/>
      <c r="AD611" s="133" t="str">
        <f t="shared" si="128"/>
        <v>Closed In July</v>
      </c>
    </row>
    <row r="612" spans="1:30" hidden="1">
      <c r="A612" s="9">
        <v>46134</v>
      </c>
      <c r="B612" s="1">
        <v>2026</v>
      </c>
      <c r="C612" s="8" t="s">
        <v>26</v>
      </c>
      <c r="D612" s="11" t="s">
        <v>179</v>
      </c>
      <c r="E612" s="1"/>
      <c r="F612" s="1" t="s">
        <v>19</v>
      </c>
      <c r="G612" s="8" t="s">
        <v>180</v>
      </c>
      <c r="H612" s="8">
        <v>8248438488</v>
      </c>
      <c r="I612" s="10" t="s">
        <v>30</v>
      </c>
      <c r="J612" s="8" t="s">
        <v>181</v>
      </c>
      <c r="K612" s="8" t="s">
        <v>27</v>
      </c>
      <c r="L612" s="8" t="s">
        <v>28</v>
      </c>
      <c r="M612" s="2" t="s">
        <v>152</v>
      </c>
      <c r="N612" s="6" t="s">
        <v>138</v>
      </c>
      <c r="O612" s="11">
        <v>550</v>
      </c>
      <c r="P612" s="2" t="s">
        <v>827</v>
      </c>
      <c r="Q612" s="12" t="str">
        <f t="shared" si="132"/>
        <v>23</v>
      </c>
      <c r="R612" s="12" t="str">
        <f t="shared" si="133"/>
        <v>05</v>
      </c>
      <c r="S612" s="6" t="s">
        <v>129</v>
      </c>
      <c r="T612" s="1" t="s">
        <v>130</v>
      </c>
      <c r="U612" s="6" t="s">
        <v>154</v>
      </c>
      <c r="V612" s="1" t="s">
        <v>143</v>
      </c>
      <c r="W612" s="1" t="s">
        <v>133</v>
      </c>
      <c r="X612" s="5">
        <v>46226</v>
      </c>
      <c r="Y612" s="1">
        <f t="shared" si="131"/>
        <v>92</v>
      </c>
      <c r="Z612" s="5">
        <v>46226</v>
      </c>
      <c r="AA612" s="3"/>
      <c r="AB612" s="3"/>
      <c r="AD612" s="133" t="str">
        <f t="shared" si="128"/>
        <v>Closed In July</v>
      </c>
    </row>
    <row r="613" spans="1:30" hidden="1">
      <c r="A613" s="9">
        <v>46134</v>
      </c>
      <c r="B613" s="1">
        <v>2026</v>
      </c>
      <c r="C613" s="8" t="s">
        <v>26</v>
      </c>
      <c r="D613" s="11" t="s">
        <v>179</v>
      </c>
      <c r="E613" s="1"/>
      <c r="F613" s="1" t="s">
        <v>19</v>
      </c>
      <c r="G613" s="8" t="s">
        <v>180</v>
      </c>
      <c r="H613" s="8">
        <v>8248438488</v>
      </c>
      <c r="I613" s="10" t="s">
        <v>30</v>
      </c>
      <c r="J613" s="8" t="s">
        <v>181</v>
      </c>
      <c r="K613" s="8" t="s">
        <v>27</v>
      </c>
      <c r="L613" s="8" t="s">
        <v>28</v>
      </c>
      <c r="M613" s="2" t="s">
        <v>137</v>
      </c>
      <c r="N613" s="6" t="s">
        <v>138</v>
      </c>
      <c r="O613" s="11">
        <v>550</v>
      </c>
      <c r="P613" s="2" t="s">
        <v>828</v>
      </c>
      <c r="Q613" s="12" t="str">
        <f t="shared" si="132"/>
        <v>23</v>
      </c>
      <c r="R613" s="12" t="str">
        <f t="shared" si="133"/>
        <v>05</v>
      </c>
      <c r="S613" s="6" t="s">
        <v>129</v>
      </c>
      <c r="T613" s="1" t="s">
        <v>130</v>
      </c>
      <c r="U613" s="6" t="s">
        <v>142</v>
      </c>
      <c r="V613" s="1" t="s">
        <v>143</v>
      </c>
      <c r="W613" s="1" t="s">
        <v>133</v>
      </c>
      <c r="X613" s="5">
        <v>46226</v>
      </c>
      <c r="Y613" s="1">
        <f t="shared" si="131"/>
        <v>92</v>
      </c>
      <c r="Z613" s="5">
        <v>46226</v>
      </c>
      <c r="AA613" s="3"/>
      <c r="AB613" s="3"/>
      <c r="AD613" s="133" t="str">
        <f t="shared" si="128"/>
        <v>Closed In July</v>
      </c>
    </row>
    <row r="614" spans="1:30" hidden="1">
      <c r="A614" s="9">
        <v>46134</v>
      </c>
      <c r="B614" s="1">
        <v>2026</v>
      </c>
      <c r="C614" s="8" t="s">
        <v>26</v>
      </c>
      <c r="D614" s="11" t="s">
        <v>179</v>
      </c>
      <c r="E614" s="1"/>
      <c r="F614" s="1" t="s">
        <v>19</v>
      </c>
      <c r="G614" s="8" t="s">
        <v>180</v>
      </c>
      <c r="H614" s="8">
        <v>8248438488</v>
      </c>
      <c r="I614" s="10" t="s">
        <v>30</v>
      </c>
      <c r="J614" s="8" t="s">
        <v>181</v>
      </c>
      <c r="K614" s="8" t="s">
        <v>27</v>
      </c>
      <c r="L614" s="8" t="s">
        <v>28</v>
      </c>
      <c r="M614" s="2" t="s">
        <v>137</v>
      </c>
      <c r="N614" s="6" t="s">
        <v>138</v>
      </c>
      <c r="O614" s="11">
        <v>550</v>
      </c>
      <c r="P614" s="2" t="s">
        <v>829</v>
      </c>
      <c r="Q614" s="12" t="str">
        <f t="shared" si="132"/>
        <v>23</v>
      </c>
      <c r="R614" s="12" t="str">
        <f t="shared" si="133"/>
        <v>05</v>
      </c>
      <c r="S614" s="6" t="s">
        <v>129</v>
      </c>
      <c r="T614" s="1" t="s">
        <v>130</v>
      </c>
      <c r="U614" s="6" t="s">
        <v>142</v>
      </c>
      <c r="V614" s="1" t="s">
        <v>143</v>
      </c>
      <c r="W614" s="1" t="s">
        <v>133</v>
      </c>
      <c r="X614" s="5">
        <v>46226</v>
      </c>
      <c r="Y614" s="1">
        <f t="shared" si="131"/>
        <v>92</v>
      </c>
      <c r="Z614" s="5">
        <v>46226</v>
      </c>
      <c r="AA614" s="3"/>
      <c r="AB614" s="3"/>
      <c r="AD614" s="133" t="str">
        <f t="shared" si="128"/>
        <v>Closed In July</v>
      </c>
    </row>
    <row r="615" spans="1:30" hidden="1">
      <c r="A615" s="9">
        <v>46134</v>
      </c>
      <c r="B615" s="1">
        <v>2026</v>
      </c>
      <c r="C615" s="8" t="s">
        <v>26</v>
      </c>
      <c r="D615" s="11" t="s">
        <v>179</v>
      </c>
      <c r="E615" s="1"/>
      <c r="F615" s="1" t="s">
        <v>19</v>
      </c>
      <c r="G615" s="8" t="s">
        <v>180</v>
      </c>
      <c r="H615" s="8">
        <v>8248438488</v>
      </c>
      <c r="I615" s="10" t="s">
        <v>30</v>
      </c>
      <c r="J615" s="8" t="s">
        <v>181</v>
      </c>
      <c r="K615" s="8" t="s">
        <v>27</v>
      </c>
      <c r="L615" s="8" t="s">
        <v>28</v>
      </c>
      <c r="M615" s="2" t="s">
        <v>137</v>
      </c>
      <c r="N615" s="6" t="s">
        <v>138</v>
      </c>
      <c r="O615" s="11">
        <v>550</v>
      </c>
      <c r="P615" s="2" t="s">
        <v>830</v>
      </c>
      <c r="Q615" s="12" t="str">
        <f t="shared" si="132"/>
        <v>23</v>
      </c>
      <c r="R615" s="12" t="str">
        <f t="shared" si="133"/>
        <v>05</v>
      </c>
      <c r="S615" s="6" t="s">
        <v>129</v>
      </c>
      <c r="T615" s="1" t="s">
        <v>130</v>
      </c>
      <c r="U615" s="6" t="s">
        <v>142</v>
      </c>
      <c r="V615" s="1" t="s">
        <v>143</v>
      </c>
      <c r="W615" s="1" t="s">
        <v>133</v>
      </c>
      <c r="X615" s="5">
        <v>46226</v>
      </c>
      <c r="Y615" s="1">
        <f t="shared" si="131"/>
        <v>92</v>
      </c>
      <c r="Z615" s="5">
        <v>46226</v>
      </c>
      <c r="AA615" s="3"/>
      <c r="AB615" s="3"/>
      <c r="AD615" s="133" t="str">
        <f t="shared" si="128"/>
        <v>Closed In July</v>
      </c>
    </row>
    <row r="616" spans="1:30" hidden="1">
      <c r="A616" s="9">
        <v>46134</v>
      </c>
      <c r="B616" s="1">
        <v>2026</v>
      </c>
      <c r="C616" s="8" t="s">
        <v>26</v>
      </c>
      <c r="D616" s="11" t="s">
        <v>179</v>
      </c>
      <c r="E616" s="1"/>
      <c r="F616" s="1" t="s">
        <v>19</v>
      </c>
      <c r="G616" s="8" t="s">
        <v>180</v>
      </c>
      <c r="H616" s="8">
        <v>8248438488</v>
      </c>
      <c r="I616" s="10" t="s">
        <v>30</v>
      </c>
      <c r="J616" s="8" t="s">
        <v>181</v>
      </c>
      <c r="K616" s="8" t="s">
        <v>27</v>
      </c>
      <c r="L616" s="8" t="s">
        <v>28</v>
      </c>
      <c r="M616" s="2" t="s">
        <v>137</v>
      </c>
      <c r="N616" s="6" t="s">
        <v>138</v>
      </c>
      <c r="O616" s="11">
        <v>550</v>
      </c>
      <c r="P616" s="2" t="s">
        <v>831</v>
      </c>
      <c r="Q616" s="12" t="str">
        <f t="shared" si="132"/>
        <v>23</v>
      </c>
      <c r="R616" s="12" t="str">
        <f t="shared" si="133"/>
        <v>05</v>
      </c>
      <c r="S616" s="6" t="s">
        <v>129</v>
      </c>
      <c r="T616" s="1" t="s">
        <v>130</v>
      </c>
      <c r="U616" s="6" t="s">
        <v>142</v>
      </c>
      <c r="V616" s="1" t="s">
        <v>143</v>
      </c>
      <c r="W616" s="1" t="s">
        <v>133</v>
      </c>
      <c r="X616" s="5">
        <v>46226</v>
      </c>
      <c r="Y616" s="1">
        <f t="shared" si="131"/>
        <v>92</v>
      </c>
      <c r="Z616" s="5">
        <v>46226</v>
      </c>
      <c r="AA616" s="3"/>
      <c r="AB616" s="3"/>
      <c r="AD616" s="133" t="str">
        <f t="shared" si="128"/>
        <v>Closed In July</v>
      </c>
    </row>
    <row r="617" spans="1:30" hidden="1">
      <c r="A617" s="9">
        <v>46134</v>
      </c>
      <c r="B617" s="1">
        <v>2026</v>
      </c>
      <c r="C617" s="8" t="s">
        <v>26</v>
      </c>
      <c r="D617" s="11" t="s">
        <v>179</v>
      </c>
      <c r="E617" s="1"/>
      <c r="F617" s="1" t="s">
        <v>19</v>
      </c>
      <c r="G617" s="8" t="s">
        <v>180</v>
      </c>
      <c r="H617" s="8">
        <v>8248438488</v>
      </c>
      <c r="I617" s="10" t="s">
        <v>30</v>
      </c>
      <c r="J617" s="8" t="s">
        <v>181</v>
      </c>
      <c r="K617" s="8" t="s">
        <v>27</v>
      </c>
      <c r="L617" s="8" t="s">
        <v>28</v>
      </c>
      <c r="M617" s="2" t="s">
        <v>137</v>
      </c>
      <c r="N617" s="6" t="s">
        <v>138</v>
      </c>
      <c r="O617" s="11">
        <v>550</v>
      </c>
      <c r="P617" s="2" t="s">
        <v>832</v>
      </c>
      <c r="Q617" s="12" t="str">
        <f t="shared" si="132"/>
        <v>23</v>
      </c>
      <c r="R617" s="12" t="str">
        <f t="shared" si="133"/>
        <v>05</v>
      </c>
      <c r="S617" s="6" t="s">
        <v>129</v>
      </c>
      <c r="T617" s="1" t="s">
        <v>130</v>
      </c>
      <c r="U617" s="6" t="s">
        <v>142</v>
      </c>
      <c r="V617" s="1" t="s">
        <v>143</v>
      </c>
      <c r="W617" s="1" t="s">
        <v>133</v>
      </c>
      <c r="X617" s="5">
        <v>46226</v>
      </c>
      <c r="Y617" s="1">
        <f t="shared" si="131"/>
        <v>92</v>
      </c>
      <c r="Z617" s="5">
        <v>46226</v>
      </c>
      <c r="AA617" s="3"/>
      <c r="AB617" s="3"/>
      <c r="AD617" s="133" t="str">
        <f t="shared" si="128"/>
        <v>Closed In July</v>
      </c>
    </row>
    <row r="618" spans="1:30" hidden="1">
      <c r="A618" s="9">
        <v>46134</v>
      </c>
      <c r="B618" s="1">
        <v>2026</v>
      </c>
      <c r="C618" s="8" t="s">
        <v>26</v>
      </c>
      <c r="D618" s="11" t="s">
        <v>179</v>
      </c>
      <c r="E618" s="1"/>
      <c r="F618" s="1" t="s">
        <v>19</v>
      </c>
      <c r="G618" s="8" t="s">
        <v>180</v>
      </c>
      <c r="H618" s="8">
        <v>8248438488</v>
      </c>
      <c r="I618" s="10" t="s">
        <v>30</v>
      </c>
      <c r="J618" s="8" t="s">
        <v>181</v>
      </c>
      <c r="K618" s="8" t="s">
        <v>27</v>
      </c>
      <c r="L618" s="8" t="s">
        <v>28</v>
      </c>
      <c r="M618" s="2" t="s">
        <v>152</v>
      </c>
      <c r="N618" s="6" t="s">
        <v>138</v>
      </c>
      <c r="O618" s="11">
        <v>550</v>
      </c>
      <c r="P618" s="2" t="s">
        <v>833</v>
      </c>
      <c r="Q618" s="12" t="str">
        <f t="shared" si="132"/>
        <v>23</v>
      </c>
      <c r="R618" s="12" t="str">
        <f t="shared" si="133"/>
        <v>05</v>
      </c>
      <c r="S618" s="6" t="s">
        <v>129</v>
      </c>
      <c r="T618" s="1" t="s">
        <v>130</v>
      </c>
      <c r="U618" s="6" t="s">
        <v>154</v>
      </c>
      <c r="V618" s="1" t="s">
        <v>143</v>
      </c>
      <c r="W618" s="1" t="s">
        <v>133</v>
      </c>
      <c r="X618" s="5">
        <v>46226</v>
      </c>
      <c r="Y618" s="1">
        <f t="shared" si="131"/>
        <v>92</v>
      </c>
      <c r="Z618" s="5">
        <v>46226</v>
      </c>
      <c r="AA618" s="3"/>
      <c r="AB618" s="3"/>
      <c r="AD618" s="133" t="str">
        <f t="shared" si="128"/>
        <v>Closed In July</v>
      </c>
    </row>
    <row r="619" spans="1:30" hidden="1">
      <c r="A619" s="9">
        <v>46134</v>
      </c>
      <c r="B619" s="1">
        <v>2026</v>
      </c>
      <c r="C619" s="8" t="s">
        <v>26</v>
      </c>
      <c r="D619" s="11" t="s">
        <v>179</v>
      </c>
      <c r="E619" s="1"/>
      <c r="F619" s="1" t="s">
        <v>19</v>
      </c>
      <c r="G619" s="8" t="s">
        <v>180</v>
      </c>
      <c r="H619" s="8">
        <v>8248438488</v>
      </c>
      <c r="I619" s="10" t="s">
        <v>30</v>
      </c>
      <c r="J619" s="8" t="s">
        <v>181</v>
      </c>
      <c r="K619" s="8" t="s">
        <v>27</v>
      </c>
      <c r="L619" s="8" t="s">
        <v>28</v>
      </c>
      <c r="M619" s="2" t="s">
        <v>152</v>
      </c>
      <c r="N619" s="6" t="s">
        <v>138</v>
      </c>
      <c r="O619" s="11">
        <v>550</v>
      </c>
      <c r="P619" s="2" t="s">
        <v>834</v>
      </c>
      <c r="Q619" s="12" t="str">
        <f t="shared" si="132"/>
        <v>23</v>
      </c>
      <c r="R619" s="12" t="str">
        <f t="shared" si="133"/>
        <v>05</v>
      </c>
      <c r="S619" s="6" t="s">
        <v>129</v>
      </c>
      <c r="T619" s="1" t="s">
        <v>130</v>
      </c>
      <c r="U619" s="6" t="s">
        <v>154</v>
      </c>
      <c r="V619" s="1" t="s">
        <v>143</v>
      </c>
      <c r="W619" s="1" t="s">
        <v>133</v>
      </c>
      <c r="X619" s="5">
        <v>46226</v>
      </c>
      <c r="Y619" s="1">
        <f t="shared" si="131"/>
        <v>92</v>
      </c>
      <c r="Z619" s="5">
        <v>46226</v>
      </c>
      <c r="AA619" s="3"/>
      <c r="AB619" s="3"/>
      <c r="AD619" s="133" t="str">
        <f t="shared" si="128"/>
        <v>Closed In July</v>
      </c>
    </row>
    <row r="620" spans="1:30" hidden="1">
      <c r="A620" s="9">
        <v>46134</v>
      </c>
      <c r="B620" s="1">
        <v>2026</v>
      </c>
      <c r="C620" s="8" t="s">
        <v>26</v>
      </c>
      <c r="D620" s="11" t="s">
        <v>179</v>
      </c>
      <c r="E620" s="1"/>
      <c r="F620" s="1" t="s">
        <v>19</v>
      </c>
      <c r="G620" s="8" t="s">
        <v>180</v>
      </c>
      <c r="H620" s="8">
        <v>8248438488</v>
      </c>
      <c r="I620" s="10" t="s">
        <v>30</v>
      </c>
      <c r="J620" s="8" t="s">
        <v>181</v>
      </c>
      <c r="K620" s="8" t="s">
        <v>27</v>
      </c>
      <c r="L620" s="8" t="s">
        <v>28</v>
      </c>
      <c r="M620" s="2" t="s">
        <v>137</v>
      </c>
      <c r="N620" s="6" t="s">
        <v>138</v>
      </c>
      <c r="O620" s="11">
        <v>550</v>
      </c>
      <c r="P620" s="2" t="s">
        <v>835</v>
      </c>
      <c r="Q620" s="12" t="str">
        <f t="shared" si="132"/>
        <v>23</v>
      </c>
      <c r="R620" s="12" t="str">
        <f t="shared" si="133"/>
        <v>05</v>
      </c>
      <c r="S620" s="6" t="s">
        <v>129</v>
      </c>
      <c r="T620" s="1" t="s">
        <v>130</v>
      </c>
      <c r="U620" s="6" t="s">
        <v>142</v>
      </c>
      <c r="V620" s="1" t="s">
        <v>143</v>
      </c>
      <c r="W620" s="1" t="s">
        <v>133</v>
      </c>
      <c r="X620" s="5">
        <v>46226</v>
      </c>
      <c r="Y620" s="1">
        <f t="shared" si="131"/>
        <v>92</v>
      </c>
      <c r="Z620" s="5">
        <v>46226</v>
      </c>
      <c r="AA620" s="3"/>
      <c r="AB620" s="3"/>
      <c r="AD620" s="133" t="str">
        <f t="shared" si="128"/>
        <v>Closed In July</v>
      </c>
    </row>
    <row r="621" spans="1:30" hidden="1">
      <c r="A621" s="9">
        <v>46134</v>
      </c>
      <c r="B621" s="1">
        <v>2026</v>
      </c>
      <c r="C621" s="8" t="s">
        <v>26</v>
      </c>
      <c r="D621" s="11" t="s">
        <v>179</v>
      </c>
      <c r="E621" s="1"/>
      <c r="F621" s="1" t="s">
        <v>19</v>
      </c>
      <c r="G621" s="8" t="s">
        <v>180</v>
      </c>
      <c r="H621" s="8">
        <v>8248438488</v>
      </c>
      <c r="I621" s="10" t="s">
        <v>30</v>
      </c>
      <c r="J621" s="8" t="s">
        <v>181</v>
      </c>
      <c r="K621" s="8" t="s">
        <v>27</v>
      </c>
      <c r="L621" s="8" t="s">
        <v>28</v>
      </c>
      <c r="M621" s="2" t="s">
        <v>137</v>
      </c>
      <c r="N621" s="6" t="s">
        <v>138</v>
      </c>
      <c r="O621" s="11">
        <v>550</v>
      </c>
      <c r="P621" s="2" t="s">
        <v>836</v>
      </c>
      <c r="Q621" s="12" t="str">
        <f t="shared" si="132"/>
        <v>23</v>
      </c>
      <c r="R621" s="12" t="str">
        <f t="shared" si="133"/>
        <v>05</v>
      </c>
      <c r="S621" s="6" t="s">
        <v>129</v>
      </c>
      <c r="T621" s="1" t="s">
        <v>130</v>
      </c>
      <c r="U621" s="6" t="s">
        <v>142</v>
      </c>
      <c r="V621" s="1" t="s">
        <v>143</v>
      </c>
      <c r="W621" s="1" t="s">
        <v>133</v>
      </c>
      <c r="X621" s="5">
        <v>46226</v>
      </c>
      <c r="Y621" s="1">
        <f t="shared" si="131"/>
        <v>92</v>
      </c>
      <c r="Z621" s="5">
        <v>46226</v>
      </c>
      <c r="AA621" s="3"/>
      <c r="AB621" s="3"/>
      <c r="AD621" s="133" t="str">
        <f t="shared" si="128"/>
        <v>Closed In July</v>
      </c>
    </row>
    <row r="622" spans="1:30" hidden="1">
      <c r="A622" s="9">
        <v>46134</v>
      </c>
      <c r="B622" s="1">
        <v>2026</v>
      </c>
      <c r="C622" s="8" t="s">
        <v>26</v>
      </c>
      <c r="D622" s="11" t="s">
        <v>179</v>
      </c>
      <c r="E622" s="1"/>
      <c r="F622" s="1" t="s">
        <v>19</v>
      </c>
      <c r="G622" s="8" t="s">
        <v>180</v>
      </c>
      <c r="H622" s="8">
        <v>8248438488</v>
      </c>
      <c r="I622" s="10" t="s">
        <v>30</v>
      </c>
      <c r="J622" s="8" t="s">
        <v>181</v>
      </c>
      <c r="K622" s="8" t="s">
        <v>27</v>
      </c>
      <c r="L622" s="8" t="s">
        <v>28</v>
      </c>
      <c r="M622" s="2" t="s">
        <v>137</v>
      </c>
      <c r="N622" s="6" t="s">
        <v>138</v>
      </c>
      <c r="O622" s="11">
        <v>550</v>
      </c>
      <c r="P622" s="2" t="s">
        <v>837</v>
      </c>
      <c r="Q622" s="12" t="str">
        <f t="shared" si="132"/>
        <v>23</v>
      </c>
      <c r="R622" s="12" t="str">
        <f t="shared" si="133"/>
        <v>05</v>
      </c>
      <c r="S622" s="6" t="s">
        <v>129</v>
      </c>
      <c r="T622" s="1" t="s">
        <v>130</v>
      </c>
      <c r="U622" s="6" t="s">
        <v>142</v>
      </c>
      <c r="V622" s="1" t="s">
        <v>143</v>
      </c>
      <c r="W622" s="1" t="s">
        <v>133</v>
      </c>
      <c r="X622" s="5">
        <v>46226</v>
      </c>
      <c r="Y622" s="1">
        <f t="shared" si="131"/>
        <v>92</v>
      </c>
      <c r="Z622" s="5">
        <v>46226</v>
      </c>
      <c r="AA622" s="3"/>
      <c r="AB622" s="3"/>
      <c r="AD622" s="133" t="str">
        <f t="shared" si="128"/>
        <v>Closed In July</v>
      </c>
    </row>
    <row r="623" spans="1:30" hidden="1">
      <c r="A623" s="9">
        <v>46134</v>
      </c>
      <c r="B623" s="1">
        <v>2026</v>
      </c>
      <c r="C623" s="8" t="s">
        <v>26</v>
      </c>
      <c r="D623" s="11" t="s">
        <v>179</v>
      </c>
      <c r="E623" s="1"/>
      <c r="F623" s="1" t="s">
        <v>19</v>
      </c>
      <c r="G623" s="8" t="s">
        <v>180</v>
      </c>
      <c r="H623" s="8">
        <v>8248438488</v>
      </c>
      <c r="I623" s="10" t="s">
        <v>30</v>
      </c>
      <c r="J623" s="8" t="s">
        <v>181</v>
      </c>
      <c r="K623" s="8" t="s">
        <v>27</v>
      </c>
      <c r="L623" s="8" t="s">
        <v>28</v>
      </c>
      <c r="M623" s="2" t="s">
        <v>137</v>
      </c>
      <c r="N623" s="6" t="s">
        <v>138</v>
      </c>
      <c r="O623" s="11">
        <v>550</v>
      </c>
      <c r="P623" s="2" t="s">
        <v>838</v>
      </c>
      <c r="Q623" s="12" t="str">
        <f t="shared" si="132"/>
        <v>23</v>
      </c>
      <c r="R623" s="12" t="str">
        <f t="shared" si="133"/>
        <v>05</v>
      </c>
      <c r="S623" s="6" t="s">
        <v>129</v>
      </c>
      <c r="T623" s="1" t="s">
        <v>130</v>
      </c>
      <c r="U623" s="6" t="s">
        <v>142</v>
      </c>
      <c r="V623" s="1" t="s">
        <v>143</v>
      </c>
      <c r="W623" s="1" t="s">
        <v>133</v>
      </c>
      <c r="X623" s="5">
        <v>46226</v>
      </c>
      <c r="Y623" s="1">
        <f t="shared" si="131"/>
        <v>92</v>
      </c>
      <c r="Z623" s="5">
        <v>46226</v>
      </c>
      <c r="AA623" s="3"/>
      <c r="AB623" s="3"/>
      <c r="AD623" s="133" t="str">
        <f t="shared" si="128"/>
        <v>Closed In July</v>
      </c>
    </row>
    <row r="624" spans="1:30" hidden="1">
      <c r="A624" s="9">
        <v>46134</v>
      </c>
      <c r="B624" s="1">
        <v>2026</v>
      </c>
      <c r="C624" s="8" t="s">
        <v>26</v>
      </c>
      <c r="D624" s="11" t="s">
        <v>179</v>
      </c>
      <c r="E624" s="1"/>
      <c r="F624" s="1" t="s">
        <v>19</v>
      </c>
      <c r="G624" s="8" t="s">
        <v>180</v>
      </c>
      <c r="H624" s="8">
        <v>8248438488</v>
      </c>
      <c r="I624" s="10" t="s">
        <v>30</v>
      </c>
      <c r="J624" s="8" t="s">
        <v>181</v>
      </c>
      <c r="K624" s="8" t="s">
        <v>27</v>
      </c>
      <c r="L624" s="8" t="s">
        <v>28</v>
      </c>
      <c r="M624" s="2" t="s">
        <v>137</v>
      </c>
      <c r="N624" s="6" t="s">
        <v>138</v>
      </c>
      <c r="O624" s="11">
        <v>550</v>
      </c>
      <c r="P624" s="2" t="s">
        <v>839</v>
      </c>
      <c r="Q624" s="12" t="str">
        <f t="shared" si="132"/>
        <v>23</v>
      </c>
      <c r="R624" s="12" t="str">
        <f t="shared" si="133"/>
        <v>05</v>
      </c>
      <c r="S624" s="6" t="s">
        <v>129</v>
      </c>
      <c r="T624" s="1" t="s">
        <v>130</v>
      </c>
      <c r="U624" s="6" t="s">
        <v>142</v>
      </c>
      <c r="V624" s="1" t="s">
        <v>143</v>
      </c>
      <c r="W624" s="1" t="s">
        <v>133</v>
      </c>
      <c r="X624" s="5">
        <v>46226</v>
      </c>
      <c r="Y624" s="1">
        <f t="shared" si="131"/>
        <v>92</v>
      </c>
      <c r="Z624" s="5">
        <v>46226</v>
      </c>
      <c r="AA624" s="3"/>
      <c r="AB624" s="3"/>
      <c r="AD624" s="133" t="str">
        <f t="shared" si="128"/>
        <v>Closed In July</v>
      </c>
    </row>
    <row r="625" spans="1:30" hidden="1">
      <c r="A625" s="9">
        <v>46134</v>
      </c>
      <c r="B625" s="1">
        <v>2026</v>
      </c>
      <c r="C625" s="8" t="s">
        <v>26</v>
      </c>
      <c r="D625" s="11" t="s">
        <v>179</v>
      </c>
      <c r="E625" s="1"/>
      <c r="F625" s="1" t="s">
        <v>19</v>
      </c>
      <c r="G625" s="8" t="s">
        <v>180</v>
      </c>
      <c r="H625" s="8">
        <v>8248438488</v>
      </c>
      <c r="I625" s="10" t="s">
        <v>30</v>
      </c>
      <c r="J625" s="8" t="s">
        <v>181</v>
      </c>
      <c r="K625" s="8" t="s">
        <v>27</v>
      </c>
      <c r="L625" s="8" t="s">
        <v>28</v>
      </c>
      <c r="M625" s="2" t="s">
        <v>137</v>
      </c>
      <c r="N625" s="6" t="s">
        <v>138</v>
      </c>
      <c r="O625" s="11">
        <v>550</v>
      </c>
      <c r="P625" s="2" t="s">
        <v>840</v>
      </c>
      <c r="Q625" s="12" t="str">
        <f t="shared" si="132"/>
        <v>23</v>
      </c>
      <c r="R625" s="12" t="str">
        <f t="shared" si="133"/>
        <v>05</v>
      </c>
      <c r="S625" s="6" t="s">
        <v>129</v>
      </c>
      <c r="T625" s="1" t="s">
        <v>130</v>
      </c>
      <c r="U625" s="6" t="s">
        <v>142</v>
      </c>
      <c r="V625" s="1" t="s">
        <v>143</v>
      </c>
      <c r="W625" s="1" t="s">
        <v>133</v>
      </c>
      <c r="X625" s="5">
        <v>46226</v>
      </c>
      <c r="Y625" s="1">
        <f t="shared" si="131"/>
        <v>92</v>
      </c>
      <c r="Z625" s="5">
        <v>46226</v>
      </c>
      <c r="AA625" s="3"/>
      <c r="AB625" s="3"/>
      <c r="AD625" s="133" t="str">
        <f t="shared" si="128"/>
        <v>Closed In July</v>
      </c>
    </row>
    <row r="626" spans="1:30" hidden="1">
      <c r="A626" s="9">
        <v>46134</v>
      </c>
      <c r="B626" s="1">
        <v>2026</v>
      </c>
      <c r="C626" s="8" t="s">
        <v>26</v>
      </c>
      <c r="D626" s="11" t="s">
        <v>179</v>
      </c>
      <c r="E626" s="1"/>
      <c r="F626" s="1" t="s">
        <v>19</v>
      </c>
      <c r="G626" s="8" t="s">
        <v>180</v>
      </c>
      <c r="H626" s="8">
        <v>8248438488</v>
      </c>
      <c r="I626" s="10" t="s">
        <v>30</v>
      </c>
      <c r="J626" s="8" t="s">
        <v>181</v>
      </c>
      <c r="K626" s="8" t="s">
        <v>27</v>
      </c>
      <c r="L626" s="8" t="s">
        <v>28</v>
      </c>
      <c r="M626" s="2" t="s">
        <v>152</v>
      </c>
      <c r="N626" s="6" t="s">
        <v>138</v>
      </c>
      <c r="O626" s="11">
        <v>550</v>
      </c>
      <c r="P626" s="2" t="s">
        <v>841</v>
      </c>
      <c r="Q626" s="12" t="str">
        <f t="shared" si="132"/>
        <v>23</v>
      </c>
      <c r="R626" s="12" t="str">
        <f t="shared" si="133"/>
        <v>05</v>
      </c>
      <c r="S626" s="6" t="s">
        <v>129</v>
      </c>
      <c r="T626" s="1" t="s">
        <v>130</v>
      </c>
      <c r="U626" s="6" t="s">
        <v>154</v>
      </c>
      <c r="V626" s="1" t="s">
        <v>143</v>
      </c>
      <c r="W626" s="1" t="s">
        <v>133</v>
      </c>
      <c r="X626" s="5">
        <v>46226</v>
      </c>
      <c r="Y626" s="1">
        <f t="shared" si="131"/>
        <v>92</v>
      </c>
      <c r="Z626" s="5">
        <v>46226</v>
      </c>
      <c r="AA626" s="3"/>
      <c r="AB626" s="3"/>
      <c r="AD626" s="133" t="str">
        <f t="shared" si="128"/>
        <v>Closed In July</v>
      </c>
    </row>
    <row r="627" spans="1:30" hidden="1">
      <c r="A627" s="9">
        <v>46134</v>
      </c>
      <c r="B627" s="1">
        <v>2026</v>
      </c>
      <c r="C627" s="8" t="s">
        <v>26</v>
      </c>
      <c r="D627" s="11" t="s">
        <v>179</v>
      </c>
      <c r="E627" s="1"/>
      <c r="F627" s="1" t="s">
        <v>19</v>
      </c>
      <c r="G627" s="8" t="s">
        <v>180</v>
      </c>
      <c r="H627" s="8">
        <v>8248438488</v>
      </c>
      <c r="I627" s="10" t="s">
        <v>30</v>
      </c>
      <c r="J627" s="8" t="s">
        <v>181</v>
      </c>
      <c r="K627" s="8" t="s">
        <v>27</v>
      </c>
      <c r="L627" s="8" t="s">
        <v>28</v>
      </c>
      <c r="M627" s="2" t="s">
        <v>146</v>
      </c>
      <c r="N627" s="6" t="s">
        <v>138</v>
      </c>
      <c r="O627" s="11">
        <v>550</v>
      </c>
      <c r="P627" s="2" t="s">
        <v>842</v>
      </c>
      <c r="Q627" s="12" t="str">
        <f t="shared" si="132"/>
        <v>23</v>
      </c>
      <c r="R627" s="12" t="str">
        <f t="shared" si="133"/>
        <v>05</v>
      </c>
      <c r="S627" s="6" t="s">
        <v>129</v>
      </c>
      <c r="T627" s="1" t="s">
        <v>130</v>
      </c>
      <c r="U627" s="6" t="s">
        <v>148</v>
      </c>
      <c r="V627" s="1" t="s">
        <v>143</v>
      </c>
      <c r="W627" s="1" t="s">
        <v>133</v>
      </c>
      <c r="X627" s="5">
        <v>46226</v>
      </c>
      <c r="Y627" s="1">
        <f t="shared" si="131"/>
        <v>92</v>
      </c>
      <c r="Z627" s="5">
        <v>46226</v>
      </c>
      <c r="AA627" s="3"/>
      <c r="AB627" s="3"/>
      <c r="AD627" s="133" t="str">
        <f t="shared" si="128"/>
        <v>Closed In July</v>
      </c>
    </row>
    <row r="628" spans="1:30" hidden="1">
      <c r="A628" s="9">
        <v>46134</v>
      </c>
      <c r="B628" s="1">
        <v>2026</v>
      </c>
      <c r="C628" s="8" t="s">
        <v>26</v>
      </c>
      <c r="D628" s="11" t="s">
        <v>179</v>
      </c>
      <c r="E628" s="1"/>
      <c r="F628" s="1" t="s">
        <v>19</v>
      </c>
      <c r="G628" s="8" t="s">
        <v>180</v>
      </c>
      <c r="H628" s="8">
        <v>8248438488</v>
      </c>
      <c r="I628" s="10" t="s">
        <v>30</v>
      </c>
      <c r="J628" s="8" t="s">
        <v>181</v>
      </c>
      <c r="K628" s="8" t="s">
        <v>27</v>
      </c>
      <c r="L628" s="8" t="s">
        <v>28</v>
      </c>
      <c r="M628" s="2" t="s">
        <v>146</v>
      </c>
      <c r="N628" s="6" t="s">
        <v>138</v>
      </c>
      <c r="O628" s="11">
        <v>550</v>
      </c>
      <c r="P628" s="2" t="s">
        <v>843</v>
      </c>
      <c r="Q628" s="12" t="str">
        <f t="shared" si="132"/>
        <v>23</v>
      </c>
      <c r="R628" s="12" t="str">
        <f t="shared" si="133"/>
        <v>05</v>
      </c>
      <c r="S628" s="6" t="s">
        <v>129</v>
      </c>
      <c r="T628" s="1" t="s">
        <v>130</v>
      </c>
      <c r="U628" s="6" t="s">
        <v>148</v>
      </c>
      <c r="V628" s="1" t="s">
        <v>143</v>
      </c>
      <c r="W628" s="1" t="s">
        <v>133</v>
      </c>
      <c r="X628" s="5">
        <v>46226</v>
      </c>
      <c r="Y628" s="1">
        <f t="shared" si="131"/>
        <v>92</v>
      </c>
      <c r="Z628" s="5">
        <v>46226</v>
      </c>
      <c r="AA628" s="3"/>
      <c r="AB628" s="3"/>
      <c r="AD628" s="133" t="str">
        <f t="shared" si="128"/>
        <v>Closed In July</v>
      </c>
    </row>
    <row r="629" spans="1:30" hidden="1">
      <c r="A629" s="9">
        <v>46134</v>
      </c>
      <c r="B629" s="1">
        <v>2026</v>
      </c>
      <c r="C629" s="8" t="s">
        <v>26</v>
      </c>
      <c r="D629" s="11" t="s">
        <v>179</v>
      </c>
      <c r="E629" s="1"/>
      <c r="F629" s="1" t="s">
        <v>19</v>
      </c>
      <c r="G629" s="8" t="s">
        <v>180</v>
      </c>
      <c r="H629" s="8">
        <v>8248438488</v>
      </c>
      <c r="I629" s="10" t="s">
        <v>30</v>
      </c>
      <c r="J629" s="8" t="s">
        <v>181</v>
      </c>
      <c r="K629" s="8" t="s">
        <v>27</v>
      </c>
      <c r="L629" s="8" t="s">
        <v>28</v>
      </c>
      <c r="M629" s="2" t="s">
        <v>152</v>
      </c>
      <c r="N629" s="6" t="s">
        <v>138</v>
      </c>
      <c r="O629" s="11">
        <v>550</v>
      </c>
      <c r="P629" s="2" t="s">
        <v>844</v>
      </c>
      <c r="Q629" s="12" t="str">
        <f t="shared" si="132"/>
        <v>23</v>
      </c>
      <c r="R629" s="12" t="str">
        <f t="shared" si="133"/>
        <v>05</v>
      </c>
      <c r="S629" s="6" t="s">
        <v>129</v>
      </c>
      <c r="T629" s="1" t="s">
        <v>130</v>
      </c>
      <c r="U629" s="6" t="s">
        <v>154</v>
      </c>
      <c r="V629" s="1" t="s">
        <v>143</v>
      </c>
      <c r="W629" s="1" t="s">
        <v>133</v>
      </c>
      <c r="X629" s="5">
        <v>46226</v>
      </c>
      <c r="Y629" s="1">
        <f t="shared" si="131"/>
        <v>92</v>
      </c>
      <c r="Z629" s="5">
        <v>46226</v>
      </c>
      <c r="AA629" s="3"/>
      <c r="AB629" s="3"/>
      <c r="AD629" s="133" t="str">
        <f t="shared" si="128"/>
        <v>Closed In July</v>
      </c>
    </row>
    <row r="630" spans="1:30" hidden="1">
      <c r="A630" s="9">
        <v>46134</v>
      </c>
      <c r="B630" s="1">
        <v>2026</v>
      </c>
      <c r="C630" s="8" t="s">
        <v>26</v>
      </c>
      <c r="D630" s="11" t="s">
        <v>179</v>
      </c>
      <c r="E630" s="1"/>
      <c r="F630" s="1" t="s">
        <v>19</v>
      </c>
      <c r="G630" s="8" t="s">
        <v>180</v>
      </c>
      <c r="H630" s="8">
        <v>8248438488</v>
      </c>
      <c r="I630" s="10" t="s">
        <v>30</v>
      </c>
      <c r="J630" s="8" t="s">
        <v>181</v>
      </c>
      <c r="K630" s="8" t="s">
        <v>27</v>
      </c>
      <c r="L630" s="8" t="s">
        <v>28</v>
      </c>
      <c r="M630" s="2" t="s">
        <v>137</v>
      </c>
      <c r="N630" s="6" t="s">
        <v>138</v>
      </c>
      <c r="O630" s="11">
        <v>550</v>
      </c>
      <c r="P630" s="2" t="s">
        <v>845</v>
      </c>
      <c r="Q630" s="12" t="str">
        <f t="shared" si="132"/>
        <v>23</v>
      </c>
      <c r="R630" s="12" t="str">
        <f t="shared" si="133"/>
        <v>05</v>
      </c>
      <c r="S630" s="6" t="s">
        <v>129</v>
      </c>
      <c r="T630" s="1" t="s">
        <v>130</v>
      </c>
      <c r="U630" s="6" t="s">
        <v>142</v>
      </c>
      <c r="V630" s="1" t="s">
        <v>143</v>
      </c>
      <c r="W630" s="1" t="s">
        <v>133</v>
      </c>
      <c r="X630" s="5">
        <v>46226</v>
      </c>
      <c r="Y630" s="1">
        <f t="shared" si="131"/>
        <v>92</v>
      </c>
      <c r="Z630" s="5">
        <v>46226</v>
      </c>
      <c r="AA630" s="3"/>
      <c r="AB630" s="3"/>
      <c r="AD630" s="133" t="str">
        <f t="shared" si="128"/>
        <v>Closed In July</v>
      </c>
    </row>
    <row r="631" spans="1:30" hidden="1">
      <c r="A631" s="9">
        <v>46134</v>
      </c>
      <c r="B631" s="1">
        <v>2026</v>
      </c>
      <c r="C631" s="8" t="s">
        <v>26</v>
      </c>
      <c r="D631" s="11" t="s">
        <v>179</v>
      </c>
      <c r="E631" s="1"/>
      <c r="F631" s="1" t="s">
        <v>19</v>
      </c>
      <c r="G631" s="8" t="s">
        <v>180</v>
      </c>
      <c r="H631" s="8">
        <v>8248438488</v>
      </c>
      <c r="I631" s="10" t="s">
        <v>30</v>
      </c>
      <c r="J631" s="8" t="s">
        <v>181</v>
      </c>
      <c r="K631" s="8" t="s">
        <v>27</v>
      </c>
      <c r="L631" s="8" t="s">
        <v>28</v>
      </c>
      <c r="M631" s="2" t="s">
        <v>137</v>
      </c>
      <c r="N631" s="6" t="s">
        <v>138</v>
      </c>
      <c r="O631" s="11">
        <v>550</v>
      </c>
      <c r="P631" s="2" t="s">
        <v>846</v>
      </c>
      <c r="Q631" s="12" t="str">
        <f t="shared" si="132"/>
        <v>23</v>
      </c>
      <c r="R631" s="12" t="str">
        <f t="shared" si="133"/>
        <v>05</v>
      </c>
      <c r="S631" s="6" t="s">
        <v>129</v>
      </c>
      <c r="T631" s="1" t="s">
        <v>130</v>
      </c>
      <c r="U631" s="6" t="s">
        <v>142</v>
      </c>
      <c r="V631" s="1" t="s">
        <v>143</v>
      </c>
      <c r="W631" s="1" t="s">
        <v>133</v>
      </c>
      <c r="X631" s="5">
        <v>46226</v>
      </c>
      <c r="Y631" s="1">
        <f t="shared" si="131"/>
        <v>92</v>
      </c>
      <c r="Z631" s="5">
        <v>46226</v>
      </c>
      <c r="AA631" s="3"/>
      <c r="AB631" s="3"/>
      <c r="AD631" s="133" t="str">
        <f t="shared" si="128"/>
        <v>Closed In July</v>
      </c>
    </row>
    <row r="632" spans="1:30" hidden="1">
      <c r="A632" s="9">
        <v>46134</v>
      </c>
      <c r="B632" s="1">
        <v>2026</v>
      </c>
      <c r="C632" s="8" t="s">
        <v>26</v>
      </c>
      <c r="D632" s="11" t="s">
        <v>179</v>
      </c>
      <c r="E632" s="1"/>
      <c r="F632" s="1" t="s">
        <v>19</v>
      </c>
      <c r="G632" s="8" t="s">
        <v>180</v>
      </c>
      <c r="H632" s="8">
        <v>8248438488</v>
      </c>
      <c r="I632" s="10" t="s">
        <v>30</v>
      </c>
      <c r="J632" s="8" t="s">
        <v>181</v>
      </c>
      <c r="K632" s="8" t="s">
        <v>27</v>
      </c>
      <c r="L632" s="8" t="s">
        <v>28</v>
      </c>
      <c r="M632" s="2" t="s">
        <v>137</v>
      </c>
      <c r="N632" s="6" t="s">
        <v>138</v>
      </c>
      <c r="O632" s="11">
        <v>550</v>
      </c>
      <c r="P632" s="2" t="s">
        <v>847</v>
      </c>
      <c r="Q632" s="12" t="str">
        <f t="shared" si="132"/>
        <v>23</v>
      </c>
      <c r="R632" s="12" t="str">
        <f t="shared" si="133"/>
        <v>05</v>
      </c>
      <c r="S632" s="6" t="s">
        <v>129</v>
      </c>
      <c r="T632" s="1" t="s">
        <v>130</v>
      </c>
      <c r="U632" s="6" t="s">
        <v>142</v>
      </c>
      <c r="V632" s="1" t="s">
        <v>143</v>
      </c>
      <c r="W632" s="1" t="s">
        <v>133</v>
      </c>
      <c r="X632" s="5">
        <v>46226</v>
      </c>
      <c r="Y632" s="1">
        <f t="shared" si="131"/>
        <v>92</v>
      </c>
      <c r="Z632" s="5">
        <v>46226</v>
      </c>
      <c r="AA632" s="3"/>
      <c r="AB632" s="3"/>
      <c r="AD632" s="133" t="str">
        <f t="shared" si="128"/>
        <v>Closed In July</v>
      </c>
    </row>
    <row r="633" spans="1:30" hidden="1">
      <c r="A633" s="9">
        <v>46134</v>
      </c>
      <c r="B633" s="1">
        <v>2026</v>
      </c>
      <c r="C633" s="8" t="s">
        <v>26</v>
      </c>
      <c r="D633" s="11" t="s">
        <v>179</v>
      </c>
      <c r="E633" s="1"/>
      <c r="F633" s="1" t="s">
        <v>19</v>
      </c>
      <c r="G633" s="8" t="s">
        <v>180</v>
      </c>
      <c r="H633" s="8">
        <v>8248438488</v>
      </c>
      <c r="I633" s="10" t="s">
        <v>30</v>
      </c>
      <c r="J633" s="8" t="s">
        <v>181</v>
      </c>
      <c r="K633" s="8" t="s">
        <v>27</v>
      </c>
      <c r="L633" s="8" t="s">
        <v>28</v>
      </c>
      <c r="M633" s="2" t="s">
        <v>137</v>
      </c>
      <c r="N633" s="6" t="s">
        <v>138</v>
      </c>
      <c r="O633" s="11">
        <v>550</v>
      </c>
      <c r="P633" s="2" t="s">
        <v>848</v>
      </c>
      <c r="Q633" s="12" t="str">
        <f t="shared" si="132"/>
        <v>23</v>
      </c>
      <c r="R633" s="12" t="str">
        <f t="shared" si="133"/>
        <v>05</v>
      </c>
      <c r="S633" s="6" t="s">
        <v>129</v>
      </c>
      <c r="T633" s="1" t="s">
        <v>130</v>
      </c>
      <c r="U633" s="6" t="s">
        <v>142</v>
      </c>
      <c r="V633" s="1" t="s">
        <v>143</v>
      </c>
      <c r="W633" s="1" t="s">
        <v>133</v>
      </c>
      <c r="X633" s="5">
        <v>46226</v>
      </c>
      <c r="Y633" s="1">
        <f t="shared" si="131"/>
        <v>92</v>
      </c>
      <c r="Z633" s="5">
        <v>46226</v>
      </c>
      <c r="AA633" s="3"/>
      <c r="AB633" s="3"/>
      <c r="AD633" s="133" t="str">
        <f t="shared" si="128"/>
        <v>Closed In July</v>
      </c>
    </row>
    <row r="634" spans="1:30" hidden="1">
      <c r="A634" s="9">
        <v>46134</v>
      </c>
      <c r="B634" s="1">
        <v>2026</v>
      </c>
      <c r="C634" s="8" t="s">
        <v>26</v>
      </c>
      <c r="D634" s="11" t="s">
        <v>179</v>
      </c>
      <c r="E634" s="1"/>
      <c r="F634" s="1" t="s">
        <v>19</v>
      </c>
      <c r="G634" s="8" t="s">
        <v>180</v>
      </c>
      <c r="H634" s="8">
        <v>8248438488</v>
      </c>
      <c r="I634" s="10" t="s">
        <v>30</v>
      </c>
      <c r="J634" s="8" t="s">
        <v>181</v>
      </c>
      <c r="K634" s="8" t="s">
        <v>27</v>
      </c>
      <c r="L634" s="8" t="s">
        <v>28</v>
      </c>
      <c r="M634" s="2" t="s">
        <v>152</v>
      </c>
      <c r="N634" s="6" t="s">
        <v>138</v>
      </c>
      <c r="O634" s="11">
        <v>550</v>
      </c>
      <c r="P634" s="2" t="s">
        <v>849</v>
      </c>
      <c r="Q634" s="12" t="str">
        <f t="shared" si="132"/>
        <v>23</v>
      </c>
      <c r="R634" s="12" t="str">
        <f t="shared" si="133"/>
        <v>06</v>
      </c>
      <c r="S634" s="6" t="s">
        <v>129</v>
      </c>
      <c r="T634" s="1" t="s">
        <v>130</v>
      </c>
      <c r="U634" s="6" t="s">
        <v>154</v>
      </c>
      <c r="V634" s="1" t="s">
        <v>143</v>
      </c>
      <c r="W634" s="1" t="s">
        <v>133</v>
      </c>
      <c r="X634" s="5">
        <v>46226</v>
      </c>
      <c r="Y634" s="1">
        <f t="shared" si="131"/>
        <v>92</v>
      </c>
      <c r="Z634" s="5">
        <v>46226</v>
      </c>
      <c r="AA634" s="3"/>
      <c r="AB634" s="3"/>
      <c r="AD634" s="133" t="str">
        <f t="shared" si="128"/>
        <v>Closed In July</v>
      </c>
    </row>
    <row r="635" spans="1:30" hidden="1">
      <c r="A635" s="9">
        <v>46134</v>
      </c>
      <c r="B635" s="1">
        <v>2026</v>
      </c>
      <c r="C635" s="8" t="s">
        <v>26</v>
      </c>
      <c r="D635" s="11" t="s">
        <v>179</v>
      </c>
      <c r="E635" s="1"/>
      <c r="F635" s="1" t="s">
        <v>19</v>
      </c>
      <c r="G635" s="8" t="s">
        <v>180</v>
      </c>
      <c r="H635" s="8">
        <v>8248438488</v>
      </c>
      <c r="I635" s="10" t="s">
        <v>30</v>
      </c>
      <c r="J635" s="8" t="s">
        <v>181</v>
      </c>
      <c r="K635" s="8" t="s">
        <v>27</v>
      </c>
      <c r="L635" s="8" t="s">
        <v>28</v>
      </c>
      <c r="M635" s="2" t="s">
        <v>152</v>
      </c>
      <c r="N635" s="6" t="s">
        <v>138</v>
      </c>
      <c r="O635" s="11">
        <v>550</v>
      </c>
      <c r="P635" s="2" t="s">
        <v>850</v>
      </c>
      <c r="Q635" s="12" t="str">
        <f t="shared" si="132"/>
        <v>23</v>
      </c>
      <c r="R635" s="12" t="str">
        <f t="shared" si="133"/>
        <v>06</v>
      </c>
      <c r="S635" s="6" t="s">
        <v>129</v>
      </c>
      <c r="T635" s="1" t="s">
        <v>130</v>
      </c>
      <c r="U635" s="6" t="s">
        <v>154</v>
      </c>
      <c r="V635" s="1" t="s">
        <v>143</v>
      </c>
      <c r="W635" s="1" t="s">
        <v>133</v>
      </c>
      <c r="X635" s="5">
        <v>46226</v>
      </c>
      <c r="Y635" s="1">
        <f t="shared" si="131"/>
        <v>92</v>
      </c>
      <c r="Z635" s="5">
        <v>46226</v>
      </c>
      <c r="AA635" s="3"/>
      <c r="AB635" s="3"/>
      <c r="AD635" s="133" t="str">
        <f t="shared" si="128"/>
        <v>Closed In July</v>
      </c>
    </row>
    <row r="636" spans="1:30" hidden="1">
      <c r="A636" s="9">
        <v>46134</v>
      </c>
      <c r="B636" s="1">
        <v>2026</v>
      </c>
      <c r="C636" s="8" t="s">
        <v>26</v>
      </c>
      <c r="D636" s="11" t="s">
        <v>179</v>
      </c>
      <c r="E636" s="1"/>
      <c r="F636" s="1" t="s">
        <v>19</v>
      </c>
      <c r="G636" s="8" t="s">
        <v>180</v>
      </c>
      <c r="H636" s="8">
        <v>8248438488</v>
      </c>
      <c r="I636" s="10" t="s">
        <v>30</v>
      </c>
      <c r="J636" s="8" t="s">
        <v>181</v>
      </c>
      <c r="K636" s="8" t="s">
        <v>27</v>
      </c>
      <c r="L636" s="8" t="s">
        <v>28</v>
      </c>
      <c r="M636" s="2" t="s">
        <v>152</v>
      </c>
      <c r="N636" s="6" t="s">
        <v>138</v>
      </c>
      <c r="O636" s="11">
        <v>550</v>
      </c>
      <c r="P636" s="2" t="s">
        <v>851</v>
      </c>
      <c r="Q636" s="12" t="str">
        <f t="shared" si="132"/>
        <v>23</v>
      </c>
      <c r="R636" s="12" t="str">
        <f t="shared" si="133"/>
        <v>06</v>
      </c>
      <c r="S636" s="6" t="s">
        <v>129</v>
      </c>
      <c r="T636" s="1" t="s">
        <v>130</v>
      </c>
      <c r="U636" s="6" t="s">
        <v>154</v>
      </c>
      <c r="V636" s="1" t="s">
        <v>143</v>
      </c>
      <c r="W636" s="1" t="s">
        <v>133</v>
      </c>
      <c r="X636" s="5">
        <v>46226</v>
      </c>
      <c r="Y636" s="1">
        <f t="shared" si="131"/>
        <v>92</v>
      </c>
      <c r="Z636" s="5">
        <v>46226</v>
      </c>
      <c r="AA636" s="3"/>
      <c r="AB636" s="3"/>
      <c r="AD636" s="133" t="str">
        <f t="shared" si="128"/>
        <v>Closed In July</v>
      </c>
    </row>
    <row r="637" spans="1:30" hidden="1">
      <c r="A637" s="9">
        <v>46134</v>
      </c>
      <c r="B637" s="1">
        <v>2026</v>
      </c>
      <c r="C637" s="8" t="s">
        <v>26</v>
      </c>
      <c r="D637" s="11" t="s">
        <v>179</v>
      </c>
      <c r="E637" s="1"/>
      <c r="F637" s="1" t="s">
        <v>19</v>
      </c>
      <c r="G637" s="8" t="s">
        <v>180</v>
      </c>
      <c r="H637" s="8">
        <v>8248438488</v>
      </c>
      <c r="I637" s="10" t="s">
        <v>30</v>
      </c>
      <c r="J637" s="8" t="s">
        <v>181</v>
      </c>
      <c r="K637" s="8" t="s">
        <v>27</v>
      </c>
      <c r="L637" s="8" t="s">
        <v>28</v>
      </c>
      <c r="M637" s="2" t="s">
        <v>137</v>
      </c>
      <c r="N637" s="6" t="s">
        <v>138</v>
      </c>
      <c r="O637" s="11">
        <v>550</v>
      </c>
      <c r="P637" s="2" t="s">
        <v>852</v>
      </c>
      <c r="Q637" s="12" t="str">
        <f t="shared" si="132"/>
        <v>23</v>
      </c>
      <c r="R637" s="12" t="str">
        <f t="shared" si="133"/>
        <v>05</v>
      </c>
      <c r="S637" s="6" t="s">
        <v>129</v>
      </c>
      <c r="T637" s="1" t="s">
        <v>130</v>
      </c>
      <c r="U637" s="6" t="s">
        <v>142</v>
      </c>
      <c r="V637" s="1" t="s">
        <v>143</v>
      </c>
      <c r="W637" s="1" t="s">
        <v>133</v>
      </c>
      <c r="X637" s="5">
        <v>46227</v>
      </c>
      <c r="Y637" s="1">
        <f t="shared" si="131"/>
        <v>93</v>
      </c>
      <c r="Z637" s="5">
        <v>46227</v>
      </c>
      <c r="AA637" s="3"/>
      <c r="AB637" s="3"/>
      <c r="AD637" s="133" t="str">
        <f t="shared" si="128"/>
        <v>Closed In July</v>
      </c>
    </row>
    <row r="638" spans="1:30" hidden="1">
      <c r="A638" s="9">
        <v>46134</v>
      </c>
      <c r="B638" s="1">
        <v>2026</v>
      </c>
      <c r="C638" s="8" t="s">
        <v>26</v>
      </c>
      <c r="D638" s="11" t="s">
        <v>179</v>
      </c>
      <c r="E638" s="1"/>
      <c r="F638" s="1" t="s">
        <v>19</v>
      </c>
      <c r="G638" s="8" t="s">
        <v>180</v>
      </c>
      <c r="H638" s="8">
        <v>8248438488</v>
      </c>
      <c r="I638" s="10" t="s">
        <v>30</v>
      </c>
      <c r="J638" s="8" t="s">
        <v>181</v>
      </c>
      <c r="K638" s="8" t="s">
        <v>27</v>
      </c>
      <c r="L638" s="8" t="s">
        <v>28</v>
      </c>
      <c r="M638" s="2" t="s">
        <v>146</v>
      </c>
      <c r="N638" s="6" t="s">
        <v>138</v>
      </c>
      <c r="O638" s="11">
        <v>550</v>
      </c>
      <c r="P638" s="2" t="s">
        <v>853</v>
      </c>
      <c r="Q638" s="12" t="str">
        <f t="shared" si="132"/>
        <v>23</v>
      </c>
      <c r="R638" s="12" t="str">
        <f t="shared" si="133"/>
        <v>05</v>
      </c>
      <c r="S638" s="6" t="s">
        <v>129</v>
      </c>
      <c r="T638" s="1" t="s">
        <v>130</v>
      </c>
      <c r="U638" s="6" t="s">
        <v>148</v>
      </c>
      <c r="V638" s="1" t="s">
        <v>143</v>
      </c>
      <c r="W638" s="1" t="s">
        <v>133</v>
      </c>
      <c r="X638" s="5">
        <v>46227</v>
      </c>
      <c r="Y638" s="1">
        <f t="shared" si="131"/>
        <v>93</v>
      </c>
      <c r="Z638" s="5">
        <v>46227</v>
      </c>
      <c r="AA638" s="3"/>
      <c r="AB638" s="3"/>
      <c r="AD638" s="133" t="str">
        <f t="shared" si="128"/>
        <v>Closed In July</v>
      </c>
    </row>
    <row r="639" spans="1:30" hidden="1">
      <c r="A639" s="9">
        <v>46134</v>
      </c>
      <c r="B639" s="1">
        <v>2026</v>
      </c>
      <c r="C639" s="8" t="s">
        <v>26</v>
      </c>
      <c r="D639" s="11" t="s">
        <v>179</v>
      </c>
      <c r="E639" s="1"/>
      <c r="F639" s="1" t="s">
        <v>19</v>
      </c>
      <c r="G639" s="8" t="s">
        <v>180</v>
      </c>
      <c r="H639" s="8">
        <v>8248438488</v>
      </c>
      <c r="I639" s="10" t="s">
        <v>30</v>
      </c>
      <c r="J639" s="8" t="s">
        <v>181</v>
      </c>
      <c r="K639" s="8" t="s">
        <v>27</v>
      </c>
      <c r="L639" s="8" t="s">
        <v>28</v>
      </c>
      <c r="M639" s="2" t="s">
        <v>137</v>
      </c>
      <c r="N639" s="6" t="s">
        <v>138</v>
      </c>
      <c r="O639" s="11">
        <v>550</v>
      </c>
      <c r="P639" s="2" t="s">
        <v>854</v>
      </c>
      <c r="Q639" s="12" t="str">
        <f t="shared" si="132"/>
        <v>23</v>
      </c>
      <c r="R639" s="12" t="str">
        <f t="shared" si="133"/>
        <v>05</v>
      </c>
      <c r="S639" s="6" t="s">
        <v>129</v>
      </c>
      <c r="T639" s="1" t="s">
        <v>130</v>
      </c>
      <c r="U639" s="6" t="s">
        <v>142</v>
      </c>
      <c r="V639" s="1" t="s">
        <v>143</v>
      </c>
      <c r="W639" s="1" t="s">
        <v>133</v>
      </c>
      <c r="X639" s="5">
        <v>46227</v>
      </c>
      <c r="Y639" s="1">
        <f t="shared" si="131"/>
        <v>93</v>
      </c>
      <c r="Z639" s="5">
        <v>46227</v>
      </c>
      <c r="AA639" s="3"/>
      <c r="AB639" s="3"/>
      <c r="AD639" s="133" t="str">
        <f t="shared" si="128"/>
        <v>Closed In July</v>
      </c>
    </row>
    <row r="640" spans="1:30" hidden="1">
      <c r="A640" s="9">
        <v>46134</v>
      </c>
      <c r="B640" s="1">
        <v>2026</v>
      </c>
      <c r="C640" s="8" t="s">
        <v>26</v>
      </c>
      <c r="D640" s="11" t="s">
        <v>179</v>
      </c>
      <c r="E640" s="1"/>
      <c r="F640" s="1" t="s">
        <v>19</v>
      </c>
      <c r="G640" s="8" t="s">
        <v>180</v>
      </c>
      <c r="H640" s="8">
        <v>8248438488</v>
      </c>
      <c r="I640" s="10" t="s">
        <v>30</v>
      </c>
      <c r="J640" s="8" t="s">
        <v>181</v>
      </c>
      <c r="K640" s="8" t="s">
        <v>27</v>
      </c>
      <c r="L640" s="8" t="s">
        <v>28</v>
      </c>
      <c r="M640" s="2" t="s">
        <v>137</v>
      </c>
      <c r="N640" s="6" t="s">
        <v>138</v>
      </c>
      <c r="O640" s="11">
        <v>550</v>
      </c>
      <c r="P640" s="2" t="s">
        <v>855</v>
      </c>
      <c r="Q640" s="12" t="str">
        <f t="shared" si="132"/>
        <v>23</v>
      </c>
      <c r="R640" s="12" t="str">
        <f t="shared" si="133"/>
        <v>05</v>
      </c>
      <c r="S640" s="6" t="s">
        <v>129</v>
      </c>
      <c r="T640" s="1" t="s">
        <v>130</v>
      </c>
      <c r="U640" s="6" t="s">
        <v>142</v>
      </c>
      <c r="V640" s="1" t="s">
        <v>143</v>
      </c>
      <c r="W640" s="1" t="s">
        <v>133</v>
      </c>
      <c r="X640" s="5">
        <v>46227</v>
      </c>
      <c r="Y640" s="1">
        <f t="shared" si="131"/>
        <v>93</v>
      </c>
      <c r="Z640" s="5">
        <v>46227</v>
      </c>
      <c r="AA640" s="3"/>
      <c r="AB640" s="3"/>
      <c r="AD640" s="133" t="str">
        <f t="shared" si="128"/>
        <v>Closed In July</v>
      </c>
    </row>
    <row r="641" spans="1:30" hidden="1">
      <c r="A641" s="9">
        <v>46134</v>
      </c>
      <c r="B641" s="1">
        <v>2026</v>
      </c>
      <c r="C641" s="8" t="s">
        <v>26</v>
      </c>
      <c r="D641" s="11" t="s">
        <v>179</v>
      </c>
      <c r="E641" s="1"/>
      <c r="F641" s="1" t="s">
        <v>19</v>
      </c>
      <c r="G641" s="8" t="s">
        <v>180</v>
      </c>
      <c r="H641" s="8">
        <v>8248438488</v>
      </c>
      <c r="I641" s="10" t="s">
        <v>30</v>
      </c>
      <c r="J641" s="8" t="s">
        <v>181</v>
      </c>
      <c r="K641" s="8" t="s">
        <v>27</v>
      </c>
      <c r="L641" s="8" t="s">
        <v>28</v>
      </c>
      <c r="M641" s="2" t="s">
        <v>146</v>
      </c>
      <c r="N641" s="6" t="s">
        <v>138</v>
      </c>
      <c r="O641" s="11">
        <v>550</v>
      </c>
      <c r="P641" s="2" t="s">
        <v>856</v>
      </c>
      <c r="Q641" s="12" t="str">
        <f t="shared" si="132"/>
        <v>23</v>
      </c>
      <c r="R641" s="12" t="str">
        <f t="shared" si="133"/>
        <v>05</v>
      </c>
      <c r="S641" s="6" t="s">
        <v>129</v>
      </c>
      <c r="T641" s="1" t="s">
        <v>130</v>
      </c>
      <c r="U641" s="6" t="s">
        <v>148</v>
      </c>
      <c r="V641" s="1" t="s">
        <v>143</v>
      </c>
      <c r="W641" s="1" t="s">
        <v>133</v>
      </c>
      <c r="X641" s="5">
        <v>46227</v>
      </c>
      <c r="Y641" s="1">
        <f t="shared" si="131"/>
        <v>93</v>
      </c>
      <c r="Z641" s="5">
        <v>46227</v>
      </c>
      <c r="AA641" s="3"/>
      <c r="AB641" s="3"/>
      <c r="AD641" s="133" t="str">
        <f t="shared" si="128"/>
        <v>Closed In July</v>
      </c>
    </row>
    <row r="642" spans="1:30" hidden="1">
      <c r="A642" s="9">
        <v>46134</v>
      </c>
      <c r="B642" s="1">
        <v>2026</v>
      </c>
      <c r="C642" s="8" t="s">
        <v>26</v>
      </c>
      <c r="D642" s="11" t="s">
        <v>179</v>
      </c>
      <c r="E642" s="1"/>
      <c r="F642" s="1" t="s">
        <v>19</v>
      </c>
      <c r="G642" s="8" t="s">
        <v>180</v>
      </c>
      <c r="H642" s="8">
        <v>8248438488</v>
      </c>
      <c r="I642" s="10" t="s">
        <v>30</v>
      </c>
      <c r="J642" s="8" t="s">
        <v>181</v>
      </c>
      <c r="K642" s="8" t="s">
        <v>27</v>
      </c>
      <c r="L642" s="8" t="s">
        <v>28</v>
      </c>
      <c r="M642" s="2" t="s">
        <v>137</v>
      </c>
      <c r="N642" s="6" t="s">
        <v>138</v>
      </c>
      <c r="O642" s="11">
        <v>550</v>
      </c>
      <c r="P642" s="2" t="s">
        <v>857</v>
      </c>
      <c r="Q642" s="12" t="str">
        <f t="shared" si="132"/>
        <v>23</v>
      </c>
      <c r="R642" s="12" t="str">
        <f t="shared" si="133"/>
        <v>05</v>
      </c>
      <c r="S642" s="6" t="s">
        <v>129</v>
      </c>
      <c r="T642" s="1" t="s">
        <v>130</v>
      </c>
      <c r="U642" s="6" t="s">
        <v>142</v>
      </c>
      <c r="V642" s="1" t="s">
        <v>143</v>
      </c>
      <c r="W642" s="1" t="s">
        <v>133</v>
      </c>
      <c r="X642" s="5">
        <v>46227</v>
      </c>
      <c r="Y642" s="1">
        <f t="shared" si="131"/>
        <v>93</v>
      </c>
      <c r="Z642" s="5">
        <v>46227</v>
      </c>
      <c r="AA642" s="3"/>
      <c r="AB642" s="3"/>
      <c r="AD642" s="133" t="str">
        <f t="shared" si="128"/>
        <v>Closed In July</v>
      </c>
    </row>
    <row r="643" spans="1:30" hidden="1">
      <c r="A643" s="9">
        <v>46134</v>
      </c>
      <c r="B643" s="1">
        <v>2026</v>
      </c>
      <c r="C643" s="8" t="s">
        <v>26</v>
      </c>
      <c r="D643" s="11" t="s">
        <v>179</v>
      </c>
      <c r="E643" s="1"/>
      <c r="F643" s="1" t="s">
        <v>19</v>
      </c>
      <c r="G643" s="8" t="s">
        <v>180</v>
      </c>
      <c r="H643" s="8">
        <v>8248438488</v>
      </c>
      <c r="I643" s="10" t="s">
        <v>30</v>
      </c>
      <c r="J643" s="8" t="s">
        <v>181</v>
      </c>
      <c r="K643" s="8" t="s">
        <v>27</v>
      </c>
      <c r="L643" s="8" t="s">
        <v>28</v>
      </c>
      <c r="M643" s="2" t="s">
        <v>137</v>
      </c>
      <c r="N643" s="6" t="s">
        <v>138</v>
      </c>
      <c r="O643" s="11">
        <v>550</v>
      </c>
      <c r="P643" s="2" t="s">
        <v>858</v>
      </c>
      <c r="Q643" s="12" t="str">
        <f t="shared" si="132"/>
        <v>23</v>
      </c>
      <c r="R643" s="12" t="str">
        <f t="shared" si="133"/>
        <v>05</v>
      </c>
      <c r="S643" s="6" t="s">
        <v>129</v>
      </c>
      <c r="T643" s="1" t="s">
        <v>130</v>
      </c>
      <c r="U643" s="6" t="s">
        <v>142</v>
      </c>
      <c r="V643" s="1" t="s">
        <v>143</v>
      </c>
      <c r="W643" s="1" t="s">
        <v>133</v>
      </c>
      <c r="X643" s="5">
        <v>46227</v>
      </c>
      <c r="Y643" s="1">
        <f t="shared" si="131"/>
        <v>93</v>
      </c>
      <c r="Z643" s="5">
        <v>46227</v>
      </c>
      <c r="AA643" s="3"/>
      <c r="AB643" s="3"/>
      <c r="AD643" s="133" t="str">
        <f t="shared" ref="AD643:AD706" si="134">IF(AND(F643="Closed",X643&gt;=DATE(2026,7,1),X643&lt;=DATE(2026,7,31)),"Closed In July","Other")</f>
        <v>Closed In July</v>
      </c>
    </row>
    <row r="644" spans="1:30" hidden="1">
      <c r="A644" s="9">
        <v>46134</v>
      </c>
      <c r="B644" s="1">
        <v>2026</v>
      </c>
      <c r="C644" s="8" t="s">
        <v>26</v>
      </c>
      <c r="D644" s="11" t="s">
        <v>179</v>
      </c>
      <c r="E644" s="1"/>
      <c r="F644" s="1" t="s">
        <v>19</v>
      </c>
      <c r="G644" s="8" t="s">
        <v>180</v>
      </c>
      <c r="H644" s="8">
        <v>8248438488</v>
      </c>
      <c r="I644" s="10" t="s">
        <v>30</v>
      </c>
      <c r="J644" s="8" t="s">
        <v>181</v>
      </c>
      <c r="K644" s="8" t="s">
        <v>27</v>
      </c>
      <c r="L644" s="8" t="s">
        <v>28</v>
      </c>
      <c r="M644" s="2" t="s">
        <v>137</v>
      </c>
      <c r="N644" s="6" t="s">
        <v>138</v>
      </c>
      <c r="O644" s="11">
        <v>550</v>
      </c>
      <c r="P644" s="2" t="s">
        <v>859</v>
      </c>
      <c r="Q644" s="12" t="str">
        <f t="shared" si="132"/>
        <v>23</v>
      </c>
      <c r="R644" s="12" t="str">
        <f t="shared" si="133"/>
        <v>05</v>
      </c>
      <c r="S644" s="6" t="s">
        <v>129</v>
      </c>
      <c r="T644" s="1" t="s">
        <v>130</v>
      </c>
      <c r="U644" s="6" t="s">
        <v>142</v>
      </c>
      <c r="V644" s="1" t="s">
        <v>143</v>
      </c>
      <c r="W644" s="1" t="s">
        <v>133</v>
      </c>
      <c r="X644" s="5">
        <v>46227</v>
      </c>
      <c r="Y644" s="1">
        <f t="shared" si="131"/>
        <v>93</v>
      </c>
      <c r="Z644" s="5">
        <v>46227</v>
      </c>
      <c r="AA644" s="3"/>
      <c r="AB644" s="3"/>
      <c r="AD644" s="133" t="str">
        <f t="shared" si="134"/>
        <v>Closed In July</v>
      </c>
    </row>
    <row r="645" spans="1:30" hidden="1">
      <c r="A645" s="9">
        <v>46134</v>
      </c>
      <c r="B645" s="1">
        <v>2026</v>
      </c>
      <c r="C645" s="8" t="s">
        <v>26</v>
      </c>
      <c r="D645" s="11" t="s">
        <v>179</v>
      </c>
      <c r="E645" s="1"/>
      <c r="F645" s="1" t="s">
        <v>19</v>
      </c>
      <c r="G645" s="8" t="s">
        <v>180</v>
      </c>
      <c r="H645" s="8">
        <v>8248438488</v>
      </c>
      <c r="I645" s="10" t="s">
        <v>30</v>
      </c>
      <c r="J645" s="8" t="s">
        <v>181</v>
      </c>
      <c r="K645" s="8" t="s">
        <v>27</v>
      </c>
      <c r="L645" s="8" t="s">
        <v>28</v>
      </c>
      <c r="M645" s="2" t="s">
        <v>146</v>
      </c>
      <c r="N645" s="6" t="s">
        <v>138</v>
      </c>
      <c r="O645" s="11">
        <v>550</v>
      </c>
      <c r="P645" s="2" t="s">
        <v>860</v>
      </c>
      <c r="Q645" s="12" t="str">
        <f t="shared" si="132"/>
        <v>23</v>
      </c>
      <c r="R645" s="12" t="str">
        <f t="shared" si="133"/>
        <v>05</v>
      </c>
      <c r="S645" s="6" t="s">
        <v>129</v>
      </c>
      <c r="T645" s="1" t="s">
        <v>130</v>
      </c>
      <c r="U645" s="6" t="s">
        <v>148</v>
      </c>
      <c r="V645" s="1" t="s">
        <v>143</v>
      </c>
      <c r="W645" s="1" t="s">
        <v>133</v>
      </c>
      <c r="X645" s="5">
        <v>46227</v>
      </c>
      <c r="Y645" s="1">
        <f t="shared" si="131"/>
        <v>93</v>
      </c>
      <c r="Z645" s="5">
        <v>46227</v>
      </c>
      <c r="AA645" s="3"/>
      <c r="AB645" s="3"/>
      <c r="AD645" s="133" t="str">
        <f t="shared" si="134"/>
        <v>Closed In July</v>
      </c>
    </row>
    <row r="646" spans="1:30" hidden="1">
      <c r="A646" s="9">
        <v>46134</v>
      </c>
      <c r="B646" s="1">
        <v>2026</v>
      </c>
      <c r="C646" s="8" t="s">
        <v>26</v>
      </c>
      <c r="D646" s="11" t="s">
        <v>179</v>
      </c>
      <c r="E646" s="1"/>
      <c r="F646" s="1" t="s">
        <v>19</v>
      </c>
      <c r="G646" s="8" t="s">
        <v>180</v>
      </c>
      <c r="H646" s="8">
        <v>8248438488</v>
      </c>
      <c r="I646" s="10" t="s">
        <v>30</v>
      </c>
      <c r="J646" s="8" t="s">
        <v>181</v>
      </c>
      <c r="K646" s="8" t="s">
        <v>27</v>
      </c>
      <c r="L646" s="8" t="s">
        <v>28</v>
      </c>
      <c r="M646" s="2" t="s">
        <v>146</v>
      </c>
      <c r="N646" s="6" t="s">
        <v>138</v>
      </c>
      <c r="O646" s="11">
        <v>550</v>
      </c>
      <c r="P646" s="2" t="s">
        <v>861</v>
      </c>
      <c r="Q646" s="12" t="str">
        <f t="shared" si="132"/>
        <v>23</v>
      </c>
      <c r="R646" s="12" t="str">
        <f t="shared" si="133"/>
        <v>05</v>
      </c>
      <c r="S646" s="6" t="s">
        <v>129</v>
      </c>
      <c r="T646" s="1" t="s">
        <v>130</v>
      </c>
      <c r="U646" s="6" t="s">
        <v>148</v>
      </c>
      <c r="V646" s="1" t="s">
        <v>143</v>
      </c>
      <c r="W646" s="1" t="s">
        <v>133</v>
      </c>
      <c r="X646" s="5">
        <v>46227</v>
      </c>
      <c r="Y646" s="1">
        <f t="shared" si="131"/>
        <v>93</v>
      </c>
      <c r="Z646" s="5">
        <v>46227</v>
      </c>
      <c r="AA646" s="3"/>
      <c r="AB646" s="3"/>
      <c r="AD646" s="133" t="str">
        <f t="shared" si="134"/>
        <v>Closed In July</v>
      </c>
    </row>
    <row r="647" spans="1:30" hidden="1">
      <c r="A647" s="9">
        <v>46134</v>
      </c>
      <c r="B647" s="1">
        <v>2026</v>
      </c>
      <c r="C647" s="8" t="s">
        <v>26</v>
      </c>
      <c r="D647" s="11" t="s">
        <v>179</v>
      </c>
      <c r="E647" s="1"/>
      <c r="F647" s="1" t="s">
        <v>19</v>
      </c>
      <c r="G647" s="8" t="s">
        <v>180</v>
      </c>
      <c r="H647" s="8">
        <v>8248438488</v>
      </c>
      <c r="I647" s="10" t="s">
        <v>30</v>
      </c>
      <c r="J647" s="8" t="s">
        <v>181</v>
      </c>
      <c r="K647" s="8" t="s">
        <v>27</v>
      </c>
      <c r="L647" s="8" t="s">
        <v>28</v>
      </c>
      <c r="M647" s="2" t="s">
        <v>862</v>
      </c>
      <c r="N647" s="6" t="s">
        <v>138</v>
      </c>
      <c r="O647" s="11">
        <v>550</v>
      </c>
      <c r="P647" s="2" t="s">
        <v>863</v>
      </c>
      <c r="Q647" s="12" t="str">
        <f t="shared" si="132"/>
        <v>23</v>
      </c>
      <c r="R647" s="12" t="str">
        <f t="shared" si="133"/>
        <v>05</v>
      </c>
      <c r="S647" s="6" t="s">
        <v>129</v>
      </c>
      <c r="T647" s="1" t="s">
        <v>130</v>
      </c>
      <c r="U647" s="6" t="s">
        <v>142</v>
      </c>
      <c r="V647" s="1" t="s">
        <v>143</v>
      </c>
      <c r="W647" s="1" t="s">
        <v>133</v>
      </c>
      <c r="X647" s="5">
        <v>46227</v>
      </c>
      <c r="Y647" s="1">
        <f t="shared" si="131"/>
        <v>93</v>
      </c>
      <c r="Z647" s="5">
        <v>46227</v>
      </c>
      <c r="AA647" s="3"/>
      <c r="AB647" s="3"/>
      <c r="AD647" s="133" t="str">
        <f t="shared" si="134"/>
        <v>Closed In July</v>
      </c>
    </row>
    <row r="648" spans="1:30" hidden="1">
      <c r="A648" s="9">
        <v>46134</v>
      </c>
      <c r="B648" s="1">
        <v>2026</v>
      </c>
      <c r="C648" s="8" t="s">
        <v>26</v>
      </c>
      <c r="D648" s="11" t="s">
        <v>179</v>
      </c>
      <c r="E648" s="1"/>
      <c r="F648" s="1" t="s">
        <v>19</v>
      </c>
      <c r="G648" s="8" t="s">
        <v>180</v>
      </c>
      <c r="H648" s="8">
        <v>8248438488</v>
      </c>
      <c r="I648" s="10" t="s">
        <v>30</v>
      </c>
      <c r="J648" s="8" t="s">
        <v>181</v>
      </c>
      <c r="K648" s="8" t="s">
        <v>27</v>
      </c>
      <c r="L648" s="8" t="s">
        <v>28</v>
      </c>
      <c r="M648" s="2" t="s">
        <v>137</v>
      </c>
      <c r="N648" s="6" t="s">
        <v>138</v>
      </c>
      <c r="O648" s="11">
        <v>550</v>
      </c>
      <c r="P648" s="2" t="s">
        <v>864</v>
      </c>
      <c r="Q648" s="12" t="str">
        <f t="shared" si="132"/>
        <v>23</v>
      </c>
      <c r="R648" s="12" t="str">
        <f t="shared" si="133"/>
        <v>05</v>
      </c>
      <c r="S648" s="6" t="s">
        <v>129</v>
      </c>
      <c r="T648" s="1" t="s">
        <v>130</v>
      </c>
      <c r="U648" s="6" t="s">
        <v>142</v>
      </c>
      <c r="V648" s="1" t="s">
        <v>143</v>
      </c>
      <c r="W648" s="1" t="s">
        <v>133</v>
      </c>
      <c r="X648" s="5">
        <v>46227</v>
      </c>
      <c r="Y648" s="1">
        <f t="shared" si="131"/>
        <v>93</v>
      </c>
      <c r="Z648" s="5">
        <v>46227</v>
      </c>
      <c r="AA648" s="3"/>
      <c r="AB648" s="3"/>
      <c r="AD648" s="133" t="str">
        <f t="shared" si="134"/>
        <v>Closed In July</v>
      </c>
    </row>
    <row r="649" spans="1:30" hidden="1">
      <c r="A649" s="9">
        <v>46134</v>
      </c>
      <c r="B649" s="1">
        <v>2026</v>
      </c>
      <c r="C649" s="8" t="s">
        <v>26</v>
      </c>
      <c r="D649" s="11" t="s">
        <v>179</v>
      </c>
      <c r="E649" s="1"/>
      <c r="F649" s="1" t="s">
        <v>19</v>
      </c>
      <c r="G649" s="8" t="s">
        <v>180</v>
      </c>
      <c r="H649" s="8">
        <v>8248438488</v>
      </c>
      <c r="I649" s="10" t="s">
        <v>30</v>
      </c>
      <c r="J649" s="8" t="s">
        <v>181</v>
      </c>
      <c r="K649" s="8" t="s">
        <v>27</v>
      </c>
      <c r="L649" s="8" t="s">
        <v>28</v>
      </c>
      <c r="M649" s="2" t="s">
        <v>146</v>
      </c>
      <c r="N649" s="6" t="s">
        <v>138</v>
      </c>
      <c r="O649" s="11">
        <v>550</v>
      </c>
      <c r="P649" s="2" t="s">
        <v>865</v>
      </c>
      <c r="Q649" s="12" t="str">
        <f t="shared" si="132"/>
        <v>23</v>
      </c>
      <c r="R649" s="12" t="str">
        <f t="shared" si="133"/>
        <v>05</v>
      </c>
      <c r="S649" s="6" t="s">
        <v>129</v>
      </c>
      <c r="T649" s="1" t="s">
        <v>130</v>
      </c>
      <c r="U649" s="6" t="s">
        <v>148</v>
      </c>
      <c r="V649" s="1" t="s">
        <v>143</v>
      </c>
      <c r="W649" s="1" t="s">
        <v>133</v>
      </c>
      <c r="X649" s="5">
        <v>46227</v>
      </c>
      <c r="Y649" s="1">
        <f t="shared" si="131"/>
        <v>93</v>
      </c>
      <c r="Z649" s="5">
        <v>46227</v>
      </c>
      <c r="AA649" s="3"/>
      <c r="AB649" s="3"/>
      <c r="AD649" s="133" t="str">
        <f t="shared" si="134"/>
        <v>Closed In July</v>
      </c>
    </row>
    <row r="650" spans="1:30" hidden="1">
      <c r="A650" s="9">
        <v>46134</v>
      </c>
      <c r="B650" s="1">
        <v>2026</v>
      </c>
      <c r="C650" s="8" t="s">
        <v>26</v>
      </c>
      <c r="D650" s="11" t="s">
        <v>179</v>
      </c>
      <c r="E650" s="1"/>
      <c r="F650" s="1" t="s">
        <v>19</v>
      </c>
      <c r="G650" s="8" t="s">
        <v>180</v>
      </c>
      <c r="H650" s="8">
        <v>8248438488</v>
      </c>
      <c r="I650" s="10" t="s">
        <v>30</v>
      </c>
      <c r="J650" s="8" t="s">
        <v>181</v>
      </c>
      <c r="K650" s="8" t="s">
        <v>27</v>
      </c>
      <c r="L650" s="8" t="s">
        <v>28</v>
      </c>
      <c r="M650" s="2" t="s">
        <v>146</v>
      </c>
      <c r="N650" s="6" t="s">
        <v>138</v>
      </c>
      <c r="O650" s="11">
        <v>550</v>
      </c>
      <c r="P650" s="2" t="s">
        <v>866</v>
      </c>
      <c r="Q650" s="12" t="str">
        <f t="shared" si="132"/>
        <v>23</v>
      </c>
      <c r="R650" s="12" t="str">
        <f t="shared" si="133"/>
        <v>05</v>
      </c>
      <c r="S650" s="6" t="s">
        <v>129</v>
      </c>
      <c r="T650" s="1" t="s">
        <v>130</v>
      </c>
      <c r="U650" s="6" t="s">
        <v>148</v>
      </c>
      <c r="V650" s="1" t="s">
        <v>143</v>
      </c>
      <c r="W650" s="1" t="s">
        <v>133</v>
      </c>
      <c r="X650" s="5">
        <v>46227</v>
      </c>
      <c r="Y650" s="1">
        <f t="shared" si="131"/>
        <v>93</v>
      </c>
      <c r="Z650" s="5">
        <v>46227</v>
      </c>
      <c r="AA650" s="3"/>
      <c r="AB650" s="3"/>
      <c r="AD650" s="133" t="str">
        <f t="shared" si="134"/>
        <v>Closed In July</v>
      </c>
    </row>
    <row r="651" spans="1:30" hidden="1">
      <c r="A651" s="9">
        <v>46134</v>
      </c>
      <c r="B651" s="1">
        <v>2026</v>
      </c>
      <c r="C651" s="8" t="s">
        <v>26</v>
      </c>
      <c r="D651" s="11" t="s">
        <v>179</v>
      </c>
      <c r="E651" s="1"/>
      <c r="F651" s="1" t="s">
        <v>19</v>
      </c>
      <c r="G651" s="8" t="s">
        <v>180</v>
      </c>
      <c r="H651" s="8">
        <v>8248438488</v>
      </c>
      <c r="I651" s="10" t="s">
        <v>30</v>
      </c>
      <c r="J651" s="8" t="s">
        <v>181</v>
      </c>
      <c r="K651" s="8" t="s">
        <v>27</v>
      </c>
      <c r="L651" s="8" t="s">
        <v>28</v>
      </c>
      <c r="M651" s="2" t="s">
        <v>137</v>
      </c>
      <c r="N651" s="6" t="s">
        <v>138</v>
      </c>
      <c r="O651" s="11">
        <v>550</v>
      </c>
      <c r="P651" s="2" t="s">
        <v>867</v>
      </c>
      <c r="Q651" s="12" t="str">
        <f t="shared" si="132"/>
        <v>23</v>
      </c>
      <c r="R651" s="12" t="str">
        <f t="shared" si="133"/>
        <v>05</v>
      </c>
      <c r="S651" s="6" t="s">
        <v>129</v>
      </c>
      <c r="T651" s="1" t="s">
        <v>130</v>
      </c>
      <c r="U651" s="6" t="s">
        <v>142</v>
      </c>
      <c r="V651" s="1" t="s">
        <v>143</v>
      </c>
      <c r="W651" s="1" t="s">
        <v>133</v>
      </c>
      <c r="X651" s="5">
        <v>46227</v>
      </c>
      <c r="Y651" s="1">
        <f t="shared" si="131"/>
        <v>93</v>
      </c>
      <c r="Z651" s="5">
        <v>46227</v>
      </c>
      <c r="AA651" s="3"/>
      <c r="AB651" s="3"/>
      <c r="AD651" s="133" t="str">
        <f t="shared" si="134"/>
        <v>Closed In July</v>
      </c>
    </row>
    <row r="652" spans="1:30" hidden="1">
      <c r="A652" s="9">
        <v>46134</v>
      </c>
      <c r="B652" s="1">
        <v>2026</v>
      </c>
      <c r="C652" s="8" t="s">
        <v>26</v>
      </c>
      <c r="D652" s="11" t="s">
        <v>179</v>
      </c>
      <c r="E652" s="1"/>
      <c r="F652" s="1" t="s">
        <v>19</v>
      </c>
      <c r="G652" s="8" t="s">
        <v>180</v>
      </c>
      <c r="H652" s="8">
        <v>8248438488</v>
      </c>
      <c r="I652" s="10" t="s">
        <v>30</v>
      </c>
      <c r="J652" s="8" t="s">
        <v>181</v>
      </c>
      <c r="K652" s="8" t="s">
        <v>27</v>
      </c>
      <c r="L652" s="8" t="s">
        <v>28</v>
      </c>
      <c r="M652" s="2" t="s">
        <v>137</v>
      </c>
      <c r="N652" s="6" t="s">
        <v>138</v>
      </c>
      <c r="O652" s="11">
        <v>550</v>
      </c>
      <c r="P652" s="2" t="s">
        <v>868</v>
      </c>
      <c r="Q652" s="12" t="str">
        <f t="shared" si="132"/>
        <v>23</v>
      </c>
      <c r="R652" s="12" t="str">
        <f t="shared" si="133"/>
        <v>05</v>
      </c>
      <c r="S652" s="6" t="s">
        <v>129</v>
      </c>
      <c r="T652" s="1" t="s">
        <v>130</v>
      </c>
      <c r="U652" s="6" t="s">
        <v>142</v>
      </c>
      <c r="V652" s="1" t="s">
        <v>143</v>
      </c>
      <c r="W652" s="1" t="s">
        <v>133</v>
      </c>
      <c r="X652" s="5">
        <v>46227</v>
      </c>
      <c r="Y652" s="1">
        <f t="shared" si="131"/>
        <v>93</v>
      </c>
      <c r="Z652" s="5">
        <v>46227</v>
      </c>
      <c r="AA652" s="3"/>
      <c r="AB652" s="3"/>
      <c r="AD652" s="133" t="str">
        <f t="shared" si="134"/>
        <v>Closed In July</v>
      </c>
    </row>
    <row r="653" spans="1:30" hidden="1">
      <c r="A653" s="9">
        <v>46134</v>
      </c>
      <c r="B653" s="1">
        <v>2026</v>
      </c>
      <c r="C653" s="8" t="s">
        <v>26</v>
      </c>
      <c r="D653" s="11" t="s">
        <v>179</v>
      </c>
      <c r="E653" s="1"/>
      <c r="F653" s="1" t="s">
        <v>19</v>
      </c>
      <c r="G653" s="8" t="s">
        <v>180</v>
      </c>
      <c r="H653" s="8">
        <v>8248438488</v>
      </c>
      <c r="I653" s="10" t="s">
        <v>30</v>
      </c>
      <c r="J653" s="8" t="s">
        <v>181</v>
      </c>
      <c r="K653" s="8" t="s">
        <v>27</v>
      </c>
      <c r="L653" s="8" t="s">
        <v>28</v>
      </c>
      <c r="M653" s="2" t="s">
        <v>137</v>
      </c>
      <c r="N653" s="6" t="s">
        <v>138</v>
      </c>
      <c r="O653" s="11">
        <v>550</v>
      </c>
      <c r="P653" s="2" t="s">
        <v>869</v>
      </c>
      <c r="Q653" s="12" t="str">
        <f t="shared" si="132"/>
        <v>23</v>
      </c>
      <c r="R653" s="12" t="str">
        <f t="shared" si="133"/>
        <v>05</v>
      </c>
      <c r="S653" s="6" t="s">
        <v>129</v>
      </c>
      <c r="T653" s="1" t="s">
        <v>130</v>
      </c>
      <c r="U653" s="6" t="s">
        <v>142</v>
      </c>
      <c r="V653" s="1" t="s">
        <v>143</v>
      </c>
      <c r="W653" s="1" t="s">
        <v>133</v>
      </c>
      <c r="X653" s="5">
        <v>46227</v>
      </c>
      <c r="Y653" s="1">
        <f t="shared" si="131"/>
        <v>93</v>
      </c>
      <c r="Z653" s="5">
        <v>46227</v>
      </c>
      <c r="AA653" s="3"/>
      <c r="AB653" s="3"/>
      <c r="AD653" s="133" t="str">
        <f t="shared" si="134"/>
        <v>Closed In July</v>
      </c>
    </row>
    <row r="654" spans="1:30" hidden="1">
      <c r="A654" s="9">
        <v>46134</v>
      </c>
      <c r="B654" s="1">
        <v>2026</v>
      </c>
      <c r="C654" s="8" t="s">
        <v>26</v>
      </c>
      <c r="D654" s="11" t="s">
        <v>179</v>
      </c>
      <c r="E654" s="1"/>
      <c r="F654" s="1" t="s">
        <v>19</v>
      </c>
      <c r="G654" s="8" t="s">
        <v>180</v>
      </c>
      <c r="H654" s="8">
        <v>8248438488</v>
      </c>
      <c r="I654" s="10" t="s">
        <v>30</v>
      </c>
      <c r="J654" s="8" t="s">
        <v>181</v>
      </c>
      <c r="K654" s="8" t="s">
        <v>27</v>
      </c>
      <c r="L654" s="8" t="s">
        <v>28</v>
      </c>
      <c r="M654" s="2" t="s">
        <v>137</v>
      </c>
      <c r="N654" s="6" t="s">
        <v>138</v>
      </c>
      <c r="O654" s="11">
        <v>550</v>
      </c>
      <c r="P654" s="2" t="s">
        <v>870</v>
      </c>
      <c r="Q654" s="12" t="str">
        <f t="shared" si="132"/>
        <v>23</v>
      </c>
      <c r="R654" s="12" t="str">
        <f t="shared" si="133"/>
        <v>05</v>
      </c>
      <c r="S654" s="6" t="s">
        <v>129</v>
      </c>
      <c r="T654" s="1" t="s">
        <v>130</v>
      </c>
      <c r="U654" s="6" t="s">
        <v>142</v>
      </c>
      <c r="V654" s="1" t="s">
        <v>143</v>
      </c>
      <c r="W654" s="1" t="s">
        <v>133</v>
      </c>
      <c r="X654" s="5">
        <v>46227</v>
      </c>
      <c r="Y654" s="1">
        <f t="shared" si="131"/>
        <v>93</v>
      </c>
      <c r="Z654" s="5">
        <v>46227</v>
      </c>
      <c r="AA654" s="3"/>
      <c r="AB654" s="3"/>
      <c r="AD654" s="133" t="str">
        <f t="shared" si="134"/>
        <v>Closed In July</v>
      </c>
    </row>
    <row r="655" spans="1:30" hidden="1">
      <c r="A655" s="9">
        <v>46134</v>
      </c>
      <c r="B655" s="1">
        <v>2026</v>
      </c>
      <c r="C655" s="8" t="s">
        <v>26</v>
      </c>
      <c r="D655" s="11" t="s">
        <v>179</v>
      </c>
      <c r="E655" s="1"/>
      <c r="F655" s="1" t="s">
        <v>19</v>
      </c>
      <c r="G655" s="8" t="s">
        <v>180</v>
      </c>
      <c r="H655" s="8">
        <v>8248438488</v>
      </c>
      <c r="I655" s="10" t="s">
        <v>30</v>
      </c>
      <c r="J655" s="8" t="s">
        <v>181</v>
      </c>
      <c r="K655" s="8" t="s">
        <v>27</v>
      </c>
      <c r="L655" s="8" t="s">
        <v>28</v>
      </c>
      <c r="M655" s="2" t="s">
        <v>126</v>
      </c>
      <c r="N655" s="1" t="s">
        <v>127</v>
      </c>
      <c r="O655" s="11">
        <v>550</v>
      </c>
      <c r="P655" s="2" t="s">
        <v>871</v>
      </c>
      <c r="Q655" s="12" t="str">
        <f t="shared" si="132"/>
        <v>23</v>
      </c>
      <c r="R655" s="12" t="str">
        <f t="shared" si="133"/>
        <v>05</v>
      </c>
      <c r="S655" s="6" t="s">
        <v>129</v>
      </c>
      <c r="T655" s="1" t="s">
        <v>130</v>
      </c>
      <c r="U655" s="6" t="s">
        <v>145</v>
      </c>
      <c r="V655" s="6" t="s">
        <v>132</v>
      </c>
      <c r="W655" s="1" t="s">
        <v>133</v>
      </c>
      <c r="X655" s="5">
        <v>46227</v>
      </c>
      <c r="Y655" s="1">
        <f t="shared" si="131"/>
        <v>93</v>
      </c>
      <c r="Z655" s="5">
        <v>46227</v>
      </c>
      <c r="AA655" s="3"/>
      <c r="AB655" s="3"/>
      <c r="AD655" s="133" t="str">
        <f t="shared" si="134"/>
        <v>Closed In July</v>
      </c>
    </row>
    <row r="656" spans="1:30" hidden="1">
      <c r="A656" s="9">
        <v>46134</v>
      </c>
      <c r="B656" s="1">
        <v>2026</v>
      </c>
      <c r="C656" s="8" t="s">
        <v>26</v>
      </c>
      <c r="D656" s="11" t="s">
        <v>179</v>
      </c>
      <c r="E656" s="1"/>
      <c r="F656" s="1" t="s">
        <v>19</v>
      </c>
      <c r="G656" s="8" t="s">
        <v>180</v>
      </c>
      <c r="H656" s="8">
        <v>8248438488</v>
      </c>
      <c r="I656" s="10" t="s">
        <v>30</v>
      </c>
      <c r="J656" s="8" t="s">
        <v>181</v>
      </c>
      <c r="K656" s="8" t="s">
        <v>27</v>
      </c>
      <c r="L656" s="8" t="s">
        <v>28</v>
      </c>
      <c r="M656" s="2" t="s">
        <v>137</v>
      </c>
      <c r="N656" s="6" t="s">
        <v>138</v>
      </c>
      <c r="O656" s="11">
        <v>550</v>
      </c>
      <c r="P656" s="2" t="s">
        <v>872</v>
      </c>
      <c r="Q656" s="12" t="str">
        <f t="shared" si="132"/>
        <v>23</v>
      </c>
      <c r="R656" s="12" t="str">
        <f t="shared" si="133"/>
        <v>05</v>
      </c>
      <c r="S656" s="6" t="s">
        <v>129</v>
      </c>
      <c r="T656" s="1" t="s">
        <v>130</v>
      </c>
      <c r="U656" s="6" t="s">
        <v>142</v>
      </c>
      <c r="V656" s="1" t="s">
        <v>143</v>
      </c>
      <c r="W656" s="1" t="s">
        <v>133</v>
      </c>
      <c r="X656" s="5">
        <v>46227</v>
      </c>
      <c r="Y656" s="1">
        <f t="shared" si="131"/>
        <v>93</v>
      </c>
      <c r="Z656" s="5">
        <v>46227</v>
      </c>
      <c r="AA656" s="3"/>
      <c r="AB656" s="3"/>
      <c r="AD656" s="133" t="str">
        <f t="shared" si="134"/>
        <v>Closed In July</v>
      </c>
    </row>
    <row r="657" spans="1:30" hidden="1">
      <c r="A657" s="9">
        <v>46134</v>
      </c>
      <c r="B657" s="1">
        <v>2026</v>
      </c>
      <c r="C657" s="8" t="s">
        <v>26</v>
      </c>
      <c r="D657" s="11" t="s">
        <v>179</v>
      </c>
      <c r="E657" s="1"/>
      <c r="F657" s="1" t="s">
        <v>19</v>
      </c>
      <c r="G657" s="8" t="s">
        <v>180</v>
      </c>
      <c r="H657" s="8">
        <v>8248438488</v>
      </c>
      <c r="I657" s="10" t="s">
        <v>30</v>
      </c>
      <c r="J657" s="8" t="s">
        <v>181</v>
      </c>
      <c r="K657" s="8" t="s">
        <v>27</v>
      </c>
      <c r="L657" s="8" t="s">
        <v>28</v>
      </c>
      <c r="M657" s="2" t="s">
        <v>146</v>
      </c>
      <c r="N657" s="6" t="s">
        <v>138</v>
      </c>
      <c r="O657" s="11">
        <v>550</v>
      </c>
      <c r="P657" s="2" t="s">
        <v>873</v>
      </c>
      <c r="Q657" s="12" t="str">
        <f t="shared" si="132"/>
        <v>23</v>
      </c>
      <c r="R657" s="12" t="str">
        <f t="shared" si="133"/>
        <v>05</v>
      </c>
      <c r="S657" s="6" t="s">
        <v>129</v>
      </c>
      <c r="T657" s="1" t="s">
        <v>130</v>
      </c>
      <c r="U657" s="6" t="s">
        <v>148</v>
      </c>
      <c r="V657" s="1" t="s">
        <v>143</v>
      </c>
      <c r="W657" s="1" t="s">
        <v>133</v>
      </c>
      <c r="X657" s="5">
        <v>46227</v>
      </c>
      <c r="Y657" s="1">
        <f t="shared" si="131"/>
        <v>93</v>
      </c>
      <c r="Z657" s="5">
        <v>46227</v>
      </c>
      <c r="AA657" s="3"/>
      <c r="AB657" s="3"/>
      <c r="AD657" s="133" t="str">
        <f t="shared" si="134"/>
        <v>Closed In July</v>
      </c>
    </row>
    <row r="658" spans="1:30" hidden="1">
      <c r="A658" s="9">
        <v>46134</v>
      </c>
      <c r="B658" s="1">
        <v>2026</v>
      </c>
      <c r="C658" s="8" t="s">
        <v>26</v>
      </c>
      <c r="D658" s="11" t="s">
        <v>179</v>
      </c>
      <c r="E658" s="1"/>
      <c r="F658" s="1" t="s">
        <v>19</v>
      </c>
      <c r="G658" s="8" t="s">
        <v>180</v>
      </c>
      <c r="H658" s="8">
        <v>8248438488</v>
      </c>
      <c r="I658" s="10" t="s">
        <v>30</v>
      </c>
      <c r="J658" s="8" t="s">
        <v>181</v>
      </c>
      <c r="K658" s="8" t="s">
        <v>27</v>
      </c>
      <c r="L658" s="8" t="s">
        <v>28</v>
      </c>
      <c r="M658" s="2" t="s">
        <v>146</v>
      </c>
      <c r="N658" s="6" t="s">
        <v>138</v>
      </c>
      <c r="O658" s="11">
        <v>550</v>
      </c>
      <c r="P658" s="2" t="s">
        <v>874</v>
      </c>
      <c r="Q658" s="12" t="str">
        <f t="shared" si="132"/>
        <v>23</v>
      </c>
      <c r="R658" s="12" t="str">
        <f t="shared" si="133"/>
        <v>05</v>
      </c>
      <c r="S658" s="6" t="s">
        <v>129</v>
      </c>
      <c r="T658" s="1" t="s">
        <v>130</v>
      </c>
      <c r="U658" s="6" t="s">
        <v>148</v>
      </c>
      <c r="V658" s="1" t="s">
        <v>143</v>
      </c>
      <c r="W658" s="1" t="s">
        <v>133</v>
      </c>
      <c r="X658" s="5">
        <v>46227</v>
      </c>
      <c r="Y658" s="1">
        <f t="shared" si="131"/>
        <v>93</v>
      </c>
      <c r="Z658" s="5">
        <v>46227</v>
      </c>
      <c r="AA658" s="3"/>
      <c r="AB658" s="3"/>
      <c r="AD658" s="133" t="str">
        <f t="shared" si="134"/>
        <v>Closed In July</v>
      </c>
    </row>
    <row r="659" spans="1:30" hidden="1">
      <c r="A659" s="9">
        <v>46134</v>
      </c>
      <c r="B659" s="1">
        <v>2026</v>
      </c>
      <c r="C659" s="8" t="s">
        <v>26</v>
      </c>
      <c r="D659" s="11" t="s">
        <v>179</v>
      </c>
      <c r="E659" s="1"/>
      <c r="F659" s="1" t="s">
        <v>19</v>
      </c>
      <c r="G659" s="8" t="s">
        <v>180</v>
      </c>
      <c r="H659" s="8">
        <v>8248438488</v>
      </c>
      <c r="I659" s="10" t="s">
        <v>30</v>
      </c>
      <c r="J659" s="8" t="s">
        <v>181</v>
      </c>
      <c r="K659" s="8" t="s">
        <v>27</v>
      </c>
      <c r="L659" s="8" t="s">
        <v>28</v>
      </c>
      <c r="M659" s="2" t="s">
        <v>146</v>
      </c>
      <c r="N659" s="6" t="s">
        <v>138</v>
      </c>
      <c r="O659" s="11">
        <v>550</v>
      </c>
      <c r="P659" s="2" t="s">
        <v>875</v>
      </c>
      <c r="Q659" s="12" t="str">
        <f t="shared" si="132"/>
        <v>23</v>
      </c>
      <c r="R659" s="12" t="str">
        <f t="shared" si="133"/>
        <v>05</v>
      </c>
      <c r="S659" s="6" t="s">
        <v>129</v>
      </c>
      <c r="T659" s="1" t="s">
        <v>130</v>
      </c>
      <c r="U659" s="6" t="s">
        <v>148</v>
      </c>
      <c r="V659" s="1" t="s">
        <v>143</v>
      </c>
      <c r="W659" s="1" t="s">
        <v>133</v>
      </c>
      <c r="X659" s="5">
        <v>46227</v>
      </c>
      <c r="Y659" s="1">
        <f t="shared" ref="Y659:Y669" si="135">X659-A659</f>
        <v>93</v>
      </c>
      <c r="Z659" s="5">
        <v>46227</v>
      </c>
      <c r="AA659" s="3"/>
      <c r="AB659" s="3"/>
      <c r="AD659" s="133" t="str">
        <f t="shared" si="134"/>
        <v>Closed In July</v>
      </c>
    </row>
    <row r="660" spans="1:30" hidden="1">
      <c r="A660" s="9">
        <v>46134</v>
      </c>
      <c r="B660" s="1">
        <v>2026</v>
      </c>
      <c r="C660" s="8" t="s">
        <v>26</v>
      </c>
      <c r="D660" s="11" t="s">
        <v>179</v>
      </c>
      <c r="E660" s="1"/>
      <c r="F660" s="1" t="s">
        <v>19</v>
      </c>
      <c r="G660" s="8" t="s">
        <v>180</v>
      </c>
      <c r="H660" s="8">
        <v>8248438488</v>
      </c>
      <c r="I660" s="10" t="s">
        <v>30</v>
      </c>
      <c r="J660" s="8" t="s">
        <v>181</v>
      </c>
      <c r="K660" s="8" t="s">
        <v>27</v>
      </c>
      <c r="L660" s="8" t="s">
        <v>28</v>
      </c>
      <c r="M660" s="2" t="s">
        <v>146</v>
      </c>
      <c r="N660" s="6" t="s">
        <v>138</v>
      </c>
      <c r="O660" s="11">
        <v>550</v>
      </c>
      <c r="P660" s="2" t="s">
        <v>876</v>
      </c>
      <c r="Q660" s="12" t="str">
        <f t="shared" ref="Q660:Q669" si="136">MID(P660,5,2)</f>
        <v>23</v>
      </c>
      <c r="R660" s="12" t="str">
        <f t="shared" ref="R660:R669" si="137">MID(P660,7,2)</f>
        <v>05</v>
      </c>
      <c r="S660" s="6" t="s">
        <v>129</v>
      </c>
      <c r="T660" s="1" t="s">
        <v>130</v>
      </c>
      <c r="U660" s="6" t="s">
        <v>148</v>
      </c>
      <c r="V660" s="1" t="s">
        <v>143</v>
      </c>
      <c r="W660" s="1" t="s">
        <v>133</v>
      </c>
      <c r="X660" s="5">
        <v>46227</v>
      </c>
      <c r="Y660" s="1">
        <f t="shared" si="135"/>
        <v>93</v>
      </c>
      <c r="Z660" s="5">
        <v>46227</v>
      </c>
      <c r="AA660" s="3"/>
      <c r="AB660" s="3"/>
      <c r="AD660" s="133" t="str">
        <f t="shared" si="134"/>
        <v>Closed In July</v>
      </c>
    </row>
    <row r="661" spans="1:30" hidden="1">
      <c r="A661" s="9">
        <v>46134</v>
      </c>
      <c r="B661" s="1">
        <v>2026</v>
      </c>
      <c r="C661" s="8" t="s">
        <v>26</v>
      </c>
      <c r="D661" s="11" t="s">
        <v>179</v>
      </c>
      <c r="E661" s="1"/>
      <c r="F661" s="1" t="s">
        <v>19</v>
      </c>
      <c r="G661" s="8" t="s">
        <v>180</v>
      </c>
      <c r="H661" s="8">
        <v>8248438488</v>
      </c>
      <c r="I661" s="10" t="s">
        <v>30</v>
      </c>
      <c r="J661" s="8" t="s">
        <v>181</v>
      </c>
      <c r="K661" s="8" t="s">
        <v>27</v>
      </c>
      <c r="L661" s="8" t="s">
        <v>28</v>
      </c>
      <c r="M661" s="2" t="s">
        <v>146</v>
      </c>
      <c r="N661" s="6" t="s">
        <v>138</v>
      </c>
      <c r="O661" s="11">
        <v>550</v>
      </c>
      <c r="P661" s="2" t="s">
        <v>877</v>
      </c>
      <c r="Q661" s="12" t="str">
        <f t="shared" si="136"/>
        <v>23</v>
      </c>
      <c r="R661" s="12" t="str">
        <f t="shared" si="137"/>
        <v>05</v>
      </c>
      <c r="S661" s="6" t="s">
        <v>129</v>
      </c>
      <c r="T661" s="1" t="s">
        <v>130</v>
      </c>
      <c r="U661" s="6" t="s">
        <v>148</v>
      </c>
      <c r="V661" s="1" t="s">
        <v>143</v>
      </c>
      <c r="W661" s="1" t="s">
        <v>133</v>
      </c>
      <c r="X661" s="5">
        <v>46227</v>
      </c>
      <c r="Y661" s="1">
        <f t="shared" si="135"/>
        <v>93</v>
      </c>
      <c r="Z661" s="5">
        <v>46227</v>
      </c>
      <c r="AA661" s="3"/>
      <c r="AB661" s="3"/>
      <c r="AD661" s="133" t="str">
        <f t="shared" si="134"/>
        <v>Closed In July</v>
      </c>
    </row>
    <row r="662" spans="1:30" hidden="1">
      <c r="A662" s="9">
        <v>46134</v>
      </c>
      <c r="B662" s="1">
        <v>2026</v>
      </c>
      <c r="C662" s="8" t="s">
        <v>26</v>
      </c>
      <c r="D662" s="11" t="s">
        <v>179</v>
      </c>
      <c r="E662" s="1"/>
      <c r="F662" s="1" t="s">
        <v>19</v>
      </c>
      <c r="G662" s="8" t="s">
        <v>180</v>
      </c>
      <c r="H662" s="8">
        <v>8248438488</v>
      </c>
      <c r="I662" s="10" t="s">
        <v>30</v>
      </c>
      <c r="J662" s="8" t="s">
        <v>181</v>
      </c>
      <c r="K662" s="8" t="s">
        <v>27</v>
      </c>
      <c r="L662" s="8" t="s">
        <v>28</v>
      </c>
      <c r="M662" s="2" t="s">
        <v>146</v>
      </c>
      <c r="N662" s="6" t="s">
        <v>138</v>
      </c>
      <c r="O662" s="11">
        <v>550</v>
      </c>
      <c r="P662" s="2" t="s">
        <v>878</v>
      </c>
      <c r="Q662" s="12" t="str">
        <f t="shared" si="136"/>
        <v>23</v>
      </c>
      <c r="R662" s="12" t="str">
        <f t="shared" si="137"/>
        <v>05</v>
      </c>
      <c r="S662" s="6" t="s">
        <v>129</v>
      </c>
      <c r="T662" s="1" t="s">
        <v>130</v>
      </c>
      <c r="U662" s="6" t="s">
        <v>148</v>
      </c>
      <c r="V662" s="1" t="s">
        <v>143</v>
      </c>
      <c r="W662" s="1" t="s">
        <v>133</v>
      </c>
      <c r="X662" s="5">
        <v>46227</v>
      </c>
      <c r="Y662" s="1">
        <f t="shared" si="135"/>
        <v>93</v>
      </c>
      <c r="Z662" s="5">
        <v>46227</v>
      </c>
      <c r="AA662" s="3"/>
      <c r="AB662" s="3"/>
      <c r="AD662" s="133" t="str">
        <f t="shared" si="134"/>
        <v>Closed In July</v>
      </c>
    </row>
    <row r="663" spans="1:30" hidden="1">
      <c r="A663" s="9">
        <v>46134</v>
      </c>
      <c r="B663" s="1">
        <v>2026</v>
      </c>
      <c r="C663" s="8" t="s">
        <v>26</v>
      </c>
      <c r="D663" s="11" t="s">
        <v>179</v>
      </c>
      <c r="E663" s="1"/>
      <c r="F663" s="1" t="s">
        <v>19</v>
      </c>
      <c r="G663" s="8" t="s">
        <v>180</v>
      </c>
      <c r="H663" s="8">
        <v>8248438488</v>
      </c>
      <c r="I663" s="10" t="s">
        <v>30</v>
      </c>
      <c r="J663" s="8" t="s">
        <v>181</v>
      </c>
      <c r="K663" s="8" t="s">
        <v>27</v>
      </c>
      <c r="L663" s="8" t="s">
        <v>28</v>
      </c>
      <c r="M663" s="2" t="s">
        <v>588</v>
      </c>
      <c r="N663" s="6" t="s">
        <v>138</v>
      </c>
      <c r="O663" s="11">
        <v>550</v>
      </c>
      <c r="P663" s="2" t="s">
        <v>879</v>
      </c>
      <c r="Q663" s="12" t="str">
        <f t="shared" si="136"/>
        <v>23</v>
      </c>
      <c r="R663" s="12" t="str">
        <f t="shared" si="137"/>
        <v>05</v>
      </c>
      <c r="S663" s="6" t="s">
        <v>129</v>
      </c>
      <c r="T663" s="1" t="s">
        <v>130</v>
      </c>
      <c r="U663" s="6" t="s">
        <v>142</v>
      </c>
      <c r="V663" s="1" t="s">
        <v>143</v>
      </c>
      <c r="W663" s="1" t="s">
        <v>133</v>
      </c>
      <c r="X663" s="5">
        <v>46227</v>
      </c>
      <c r="Y663" s="1">
        <f t="shared" si="135"/>
        <v>93</v>
      </c>
      <c r="Z663" s="5">
        <v>46227</v>
      </c>
      <c r="AA663" s="3"/>
      <c r="AB663" s="3"/>
      <c r="AD663" s="133" t="str">
        <f t="shared" si="134"/>
        <v>Closed In July</v>
      </c>
    </row>
    <row r="664" spans="1:30" hidden="1">
      <c r="A664" s="9">
        <v>46134</v>
      </c>
      <c r="B664" s="1">
        <v>2026</v>
      </c>
      <c r="C664" s="8" t="s">
        <v>26</v>
      </c>
      <c r="D664" s="11" t="s">
        <v>179</v>
      </c>
      <c r="E664" s="1"/>
      <c r="F664" s="1" t="s">
        <v>19</v>
      </c>
      <c r="G664" s="8" t="s">
        <v>180</v>
      </c>
      <c r="H664" s="8">
        <v>8248438488</v>
      </c>
      <c r="I664" s="10" t="s">
        <v>30</v>
      </c>
      <c r="J664" s="8" t="s">
        <v>181</v>
      </c>
      <c r="K664" s="8" t="s">
        <v>27</v>
      </c>
      <c r="L664" s="8" t="s">
        <v>28</v>
      </c>
      <c r="M664" s="2" t="s">
        <v>588</v>
      </c>
      <c r="N664" s="6" t="s">
        <v>138</v>
      </c>
      <c r="O664" s="11">
        <v>550</v>
      </c>
      <c r="P664" s="2" t="s">
        <v>880</v>
      </c>
      <c r="Q664" s="12" t="str">
        <f t="shared" si="136"/>
        <v>23</v>
      </c>
      <c r="R664" s="12" t="str">
        <f t="shared" si="137"/>
        <v>05</v>
      </c>
      <c r="S664" s="6" t="s">
        <v>129</v>
      </c>
      <c r="T664" s="1" t="s">
        <v>130</v>
      </c>
      <c r="U664" s="6" t="s">
        <v>142</v>
      </c>
      <c r="V664" s="1" t="s">
        <v>143</v>
      </c>
      <c r="W664" s="1" t="s">
        <v>133</v>
      </c>
      <c r="X664" s="5">
        <v>46227</v>
      </c>
      <c r="Y664" s="1">
        <f t="shared" si="135"/>
        <v>93</v>
      </c>
      <c r="Z664" s="5">
        <v>46227</v>
      </c>
      <c r="AA664" s="3"/>
      <c r="AB664" s="3"/>
      <c r="AD664" s="133" t="str">
        <f t="shared" si="134"/>
        <v>Closed In July</v>
      </c>
    </row>
    <row r="665" spans="1:30" hidden="1">
      <c r="A665" s="9">
        <v>46134</v>
      </c>
      <c r="B665" s="1">
        <v>2026</v>
      </c>
      <c r="C665" s="8" t="s">
        <v>26</v>
      </c>
      <c r="D665" s="11" t="s">
        <v>179</v>
      </c>
      <c r="E665" s="1"/>
      <c r="F665" s="1" t="s">
        <v>19</v>
      </c>
      <c r="G665" s="8" t="s">
        <v>180</v>
      </c>
      <c r="H665" s="8">
        <v>8248438488</v>
      </c>
      <c r="I665" s="10" t="s">
        <v>30</v>
      </c>
      <c r="J665" s="8" t="s">
        <v>181</v>
      </c>
      <c r="K665" s="8" t="s">
        <v>27</v>
      </c>
      <c r="L665" s="8" t="s">
        <v>28</v>
      </c>
      <c r="M665" s="2" t="s">
        <v>588</v>
      </c>
      <c r="N665" s="6" t="s">
        <v>138</v>
      </c>
      <c r="O665" s="11">
        <v>550</v>
      </c>
      <c r="P665" s="2" t="s">
        <v>881</v>
      </c>
      <c r="Q665" s="12" t="str">
        <f t="shared" si="136"/>
        <v>23</v>
      </c>
      <c r="R665" s="12" t="str">
        <f t="shared" si="137"/>
        <v>05</v>
      </c>
      <c r="S665" s="6" t="s">
        <v>129</v>
      </c>
      <c r="T665" s="1" t="s">
        <v>130</v>
      </c>
      <c r="U665" s="6" t="s">
        <v>142</v>
      </c>
      <c r="V665" s="1" t="s">
        <v>143</v>
      </c>
      <c r="W665" s="1" t="s">
        <v>133</v>
      </c>
      <c r="X665" s="5">
        <v>46227</v>
      </c>
      <c r="Y665" s="1">
        <f t="shared" si="135"/>
        <v>93</v>
      </c>
      <c r="Z665" s="5">
        <v>46227</v>
      </c>
      <c r="AA665" s="3"/>
      <c r="AB665" s="3"/>
      <c r="AD665" s="133" t="str">
        <f t="shared" si="134"/>
        <v>Closed In July</v>
      </c>
    </row>
    <row r="666" spans="1:30" hidden="1">
      <c r="A666" s="9">
        <v>46134</v>
      </c>
      <c r="B666" s="1">
        <v>2026</v>
      </c>
      <c r="C666" s="8" t="s">
        <v>26</v>
      </c>
      <c r="D666" s="11" t="s">
        <v>179</v>
      </c>
      <c r="E666" s="1"/>
      <c r="F666" s="1" t="s">
        <v>19</v>
      </c>
      <c r="G666" s="8" t="s">
        <v>180</v>
      </c>
      <c r="H666" s="8">
        <v>8248438488</v>
      </c>
      <c r="I666" s="10" t="s">
        <v>30</v>
      </c>
      <c r="J666" s="8" t="s">
        <v>181</v>
      </c>
      <c r="K666" s="8" t="s">
        <v>27</v>
      </c>
      <c r="L666" s="8" t="s">
        <v>28</v>
      </c>
      <c r="M666" s="2" t="s">
        <v>146</v>
      </c>
      <c r="N666" s="6" t="s">
        <v>138</v>
      </c>
      <c r="O666" s="11">
        <v>550</v>
      </c>
      <c r="P666" s="2" t="s">
        <v>882</v>
      </c>
      <c r="Q666" s="12" t="str">
        <f t="shared" si="136"/>
        <v>23</v>
      </c>
      <c r="R666" s="12" t="str">
        <f t="shared" si="137"/>
        <v>06</v>
      </c>
      <c r="S666" s="6" t="s">
        <v>129</v>
      </c>
      <c r="T666" s="1" t="s">
        <v>130</v>
      </c>
      <c r="U666" s="6" t="s">
        <v>148</v>
      </c>
      <c r="V666" s="1" t="s">
        <v>143</v>
      </c>
      <c r="W666" s="1" t="s">
        <v>133</v>
      </c>
      <c r="X666" s="5">
        <v>46227</v>
      </c>
      <c r="Y666" s="1">
        <f t="shared" si="135"/>
        <v>93</v>
      </c>
      <c r="Z666" s="5">
        <v>46227</v>
      </c>
      <c r="AA666" s="3"/>
      <c r="AB666" s="3"/>
      <c r="AD666" s="133" t="str">
        <f t="shared" si="134"/>
        <v>Closed In July</v>
      </c>
    </row>
    <row r="667" spans="1:30" hidden="1">
      <c r="A667" s="9">
        <v>46134</v>
      </c>
      <c r="B667" s="1">
        <v>2026</v>
      </c>
      <c r="C667" s="8" t="s">
        <v>26</v>
      </c>
      <c r="D667" s="11" t="s">
        <v>179</v>
      </c>
      <c r="E667" s="1"/>
      <c r="F667" s="1" t="s">
        <v>19</v>
      </c>
      <c r="G667" s="8" t="s">
        <v>180</v>
      </c>
      <c r="H667" s="8">
        <v>8248438488</v>
      </c>
      <c r="I667" s="10" t="s">
        <v>30</v>
      </c>
      <c r="J667" s="8" t="s">
        <v>181</v>
      </c>
      <c r="K667" s="8" t="s">
        <v>27</v>
      </c>
      <c r="L667" s="8" t="s">
        <v>28</v>
      </c>
      <c r="M667" s="2" t="s">
        <v>137</v>
      </c>
      <c r="N667" s="6" t="s">
        <v>138</v>
      </c>
      <c r="O667" s="11">
        <v>550</v>
      </c>
      <c r="P667" s="2" t="s">
        <v>883</v>
      </c>
      <c r="Q667" s="12" t="str">
        <f t="shared" si="136"/>
        <v>23</v>
      </c>
      <c r="R667" s="12" t="str">
        <f t="shared" si="137"/>
        <v>05</v>
      </c>
      <c r="S667" s="6" t="s">
        <v>129</v>
      </c>
      <c r="T667" s="1" t="s">
        <v>130</v>
      </c>
      <c r="U667" s="6" t="s">
        <v>142</v>
      </c>
      <c r="V667" s="1" t="s">
        <v>143</v>
      </c>
      <c r="W667" s="1" t="s">
        <v>133</v>
      </c>
      <c r="X667" s="5">
        <v>46227</v>
      </c>
      <c r="Y667" s="1">
        <f t="shared" si="135"/>
        <v>93</v>
      </c>
      <c r="Z667" s="5">
        <v>46227</v>
      </c>
      <c r="AA667" s="3"/>
      <c r="AB667" s="3"/>
      <c r="AD667" s="133" t="str">
        <f t="shared" si="134"/>
        <v>Closed In July</v>
      </c>
    </row>
    <row r="668" spans="1:30" hidden="1">
      <c r="A668" s="9">
        <v>46134</v>
      </c>
      <c r="B668" s="1">
        <v>2026</v>
      </c>
      <c r="C668" s="8" t="s">
        <v>26</v>
      </c>
      <c r="D668" s="11" t="s">
        <v>179</v>
      </c>
      <c r="E668" s="1"/>
      <c r="F668" s="1" t="s">
        <v>19</v>
      </c>
      <c r="G668" s="8" t="s">
        <v>180</v>
      </c>
      <c r="H668" s="8">
        <v>8248438488</v>
      </c>
      <c r="I668" s="10" t="s">
        <v>30</v>
      </c>
      <c r="J668" s="8" t="s">
        <v>181</v>
      </c>
      <c r="K668" s="8" t="s">
        <v>27</v>
      </c>
      <c r="L668" s="8" t="s">
        <v>28</v>
      </c>
      <c r="M668" s="2" t="s">
        <v>137</v>
      </c>
      <c r="N668" s="6" t="s">
        <v>138</v>
      </c>
      <c r="O668" s="11">
        <v>550</v>
      </c>
      <c r="P668" s="2" t="s">
        <v>884</v>
      </c>
      <c r="Q668" s="12" t="str">
        <f t="shared" si="136"/>
        <v>23</v>
      </c>
      <c r="R668" s="12" t="str">
        <f t="shared" si="137"/>
        <v>05</v>
      </c>
      <c r="S668" s="6" t="s">
        <v>129</v>
      </c>
      <c r="T668" s="1" t="s">
        <v>130</v>
      </c>
      <c r="U668" s="6" t="s">
        <v>142</v>
      </c>
      <c r="V668" s="1" t="s">
        <v>143</v>
      </c>
      <c r="W668" s="1" t="s">
        <v>133</v>
      </c>
      <c r="X668" s="5">
        <v>46227</v>
      </c>
      <c r="Y668" s="1">
        <f t="shared" si="135"/>
        <v>93</v>
      </c>
      <c r="Z668" s="5">
        <v>46227</v>
      </c>
      <c r="AA668" s="3"/>
      <c r="AB668" s="3"/>
      <c r="AD668" s="133" t="str">
        <f t="shared" si="134"/>
        <v>Closed In July</v>
      </c>
    </row>
    <row r="669" spans="1:30" hidden="1">
      <c r="A669" s="9">
        <v>46134</v>
      </c>
      <c r="B669" s="1">
        <v>2026</v>
      </c>
      <c r="C669" s="8" t="s">
        <v>26</v>
      </c>
      <c r="D669" s="11" t="s">
        <v>179</v>
      </c>
      <c r="E669" s="1"/>
      <c r="F669" s="1" t="s">
        <v>19</v>
      </c>
      <c r="G669" s="8" t="s">
        <v>180</v>
      </c>
      <c r="H669" s="8">
        <v>8248438488</v>
      </c>
      <c r="I669" s="10" t="s">
        <v>30</v>
      </c>
      <c r="J669" s="8" t="s">
        <v>181</v>
      </c>
      <c r="K669" s="8" t="s">
        <v>27</v>
      </c>
      <c r="L669" s="8" t="s">
        <v>28</v>
      </c>
      <c r="M669" s="2" t="s">
        <v>588</v>
      </c>
      <c r="N669" s="6" t="s">
        <v>138</v>
      </c>
      <c r="O669" s="11">
        <v>550</v>
      </c>
      <c r="P669" s="2" t="s">
        <v>885</v>
      </c>
      <c r="Q669" s="12" t="str">
        <f t="shared" si="136"/>
        <v>23</v>
      </c>
      <c r="R669" s="12" t="str">
        <f t="shared" si="137"/>
        <v>05</v>
      </c>
      <c r="S669" s="6" t="s">
        <v>129</v>
      </c>
      <c r="T669" s="1" t="s">
        <v>130</v>
      </c>
      <c r="U669" s="6" t="s">
        <v>142</v>
      </c>
      <c r="V669" s="1" t="s">
        <v>143</v>
      </c>
      <c r="W669" s="1" t="s">
        <v>133</v>
      </c>
      <c r="X669" s="5">
        <v>46227</v>
      </c>
      <c r="Y669" s="1">
        <f t="shared" si="135"/>
        <v>93</v>
      </c>
      <c r="Z669" s="5">
        <v>46227</v>
      </c>
      <c r="AA669" s="3"/>
      <c r="AB669" s="3"/>
      <c r="AD669" s="133" t="str">
        <f t="shared" si="134"/>
        <v>Closed In July</v>
      </c>
    </row>
    <row r="670" spans="1:30" hidden="1">
      <c r="A670" s="9">
        <v>46134</v>
      </c>
      <c r="B670" s="1">
        <v>2026</v>
      </c>
      <c r="C670" s="8" t="s">
        <v>26</v>
      </c>
      <c r="D670" s="11" t="s">
        <v>179</v>
      </c>
      <c r="E670" s="1"/>
      <c r="F670" s="1" t="s">
        <v>19</v>
      </c>
      <c r="G670" s="8" t="s">
        <v>180</v>
      </c>
      <c r="H670" s="8">
        <v>8248438488</v>
      </c>
      <c r="I670" s="10" t="s">
        <v>30</v>
      </c>
      <c r="J670" s="8" t="s">
        <v>181</v>
      </c>
      <c r="K670" s="8" t="s">
        <v>27</v>
      </c>
      <c r="L670" s="8" t="s">
        <v>28</v>
      </c>
      <c r="M670" s="24" t="s">
        <v>137</v>
      </c>
      <c r="N670" s="6" t="s">
        <v>138</v>
      </c>
      <c r="O670" s="11">
        <v>550</v>
      </c>
      <c r="P670" s="24" t="s">
        <v>886</v>
      </c>
      <c r="Q670" s="12" t="str">
        <f t="shared" ref="Q670:Q687" si="138">MID(P670,5,2)</f>
        <v>23</v>
      </c>
      <c r="R670" s="12" t="str">
        <f t="shared" ref="R670:R687" si="139">MID(P670,7,2)</f>
        <v>05</v>
      </c>
      <c r="S670" s="6" t="s">
        <v>129</v>
      </c>
      <c r="T670" s="1" t="s">
        <v>130</v>
      </c>
      <c r="U670" s="6" t="s">
        <v>142</v>
      </c>
      <c r="V670" s="1" t="s">
        <v>143</v>
      </c>
      <c r="W670" s="1" t="s">
        <v>133</v>
      </c>
      <c r="X670" s="5">
        <v>46228</v>
      </c>
      <c r="Y670" s="1">
        <f t="shared" ref="Y670" si="140">X670-A670</f>
        <v>94</v>
      </c>
      <c r="Z670" s="5">
        <v>46228</v>
      </c>
      <c r="AA670" s="3"/>
      <c r="AB670" s="3"/>
      <c r="AD670" s="133" t="str">
        <f t="shared" si="134"/>
        <v>Closed In July</v>
      </c>
    </row>
    <row r="671" spans="1:30" hidden="1">
      <c r="A671" s="9">
        <v>46134</v>
      </c>
      <c r="B671" s="1">
        <v>2026</v>
      </c>
      <c r="C671" s="8" t="s">
        <v>26</v>
      </c>
      <c r="D671" s="11" t="s">
        <v>179</v>
      </c>
      <c r="E671" s="1"/>
      <c r="F671" s="1" t="s">
        <v>19</v>
      </c>
      <c r="G671" s="8" t="s">
        <v>180</v>
      </c>
      <c r="H671" s="8">
        <v>8248438488</v>
      </c>
      <c r="I671" s="10" t="s">
        <v>30</v>
      </c>
      <c r="J671" s="8" t="s">
        <v>181</v>
      </c>
      <c r="K671" s="8" t="s">
        <v>27</v>
      </c>
      <c r="L671" s="8" t="s">
        <v>28</v>
      </c>
      <c r="M671" s="2" t="s">
        <v>146</v>
      </c>
      <c r="N671" s="6" t="s">
        <v>138</v>
      </c>
      <c r="O671" s="11">
        <v>550</v>
      </c>
      <c r="P671" s="25" t="s">
        <v>887</v>
      </c>
      <c r="Q671" s="12" t="str">
        <f t="shared" si="138"/>
        <v>23</v>
      </c>
      <c r="R671" s="12" t="str">
        <f t="shared" si="139"/>
        <v>05</v>
      </c>
      <c r="S671" s="6" t="s">
        <v>129</v>
      </c>
      <c r="T671" s="1" t="s">
        <v>130</v>
      </c>
      <c r="U671" s="6" t="s">
        <v>148</v>
      </c>
      <c r="V671" s="1" t="s">
        <v>143</v>
      </c>
      <c r="W671" s="1" t="s">
        <v>133</v>
      </c>
      <c r="X671" s="5">
        <v>46228</v>
      </c>
      <c r="Y671" s="1">
        <f t="shared" ref="Y671:Y696" si="141">X671-A671</f>
        <v>94</v>
      </c>
      <c r="Z671" s="5">
        <v>46228</v>
      </c>
      <c r="AA671" s="3"/>
      <c r="AB671" s="3"/>
      <c r="AD671" s="133" t="str">
        <f t="shared" si="134"/>
        <v>Closed In July</v>
      </c>
    </row>
    <row r="672" spans="1:30" hidden="1">
      <c r="A672" s="9">
        <v>46134</v>
      </c>
      <c r="B672" s="1">
        <v>2026</v>
      </c>
      <c r="C672" s="8" t="s">
        <v>26</v>
      </c>
      <c r="D672" s="11" t="s">
        <v>179</v>
      </c>
      <c r="E672" s="1"/>
      <c r="F672" s="1" t="s">
        <v>19</v>
      </c>
      <c r="G672" s="8" t="s">
        <v>180</v>
      </c>
      <c r="H672" s="8">
        <v>8248438488</v>
      </c>
      <c r="I672" s="10" t="s">
        <v>30</v>
      </c>
      <c r="J672" s="8" t="s">
        <v>181</v>
      </c>
      <c r="K672" s="8" t="s">
        <v>27</v>
      </c>
      <c r="L672" s="8" t="s">
        <v>28</v>
      </c>
      <c r="M672" s="2" t="s">
        <v>146</v>
      </c>
      <c r="N672" s="6" t="s">
        <v>138</v>
      </c>
      <c r="O672" s="11">
        <v>550</v>
      </c>
      <c r="P672" s="25" t="s">
        <v>888</v>
      </c>
      <c r="Q672" s="12" t="str">
        <f t="shared" si="138"/>
        <v>23</v>
      </c>
      <c r="R672" s="12" t="str">
        <f t="shared" si="139"/>
        <v>06</v>
      </c>
      <c r="S672" s="6" t="s">
        <v>129</v>
      </c>
      <c r="T672" s="1" t="s">
        <v>130</v>
      </c>
      <c r="U672" s="6" t="s">
        <v>148</v>
      </c>
      <c r="V672" s="1" t="s">
        <v>143</v>
      </c>
      <c r="W672" s="1" t="s">
        <v>133</v>
      </c>
      <c r="X672" s="5">
        <v>46228</v>
      </c>
      <c r="Y672" s="1">
        <f t="shared" si="141"/>
        <v>94</v>
      </c>
      <c r="Z672" s="5">
        <v>46228</v>
      </c>
      <c r="AA672" s="3"/>
      <c r="AB672" s="3"/>
      <c r="AD672" s="133" t="str">
        <f t="shared" si="134"/>
        <v>Closed In July</v>
      </c>
    </row>
    <row r="673" spans="1:30" hidden="1">
      <c r="A673" s="9">
        <v>46134</v>
      </c>
      <c r="B673" s="1">
        <v>2026</v>
      </c>
      <c r="C673" s="8" t="s">
        <v>26</v>
      </c>
      <c r="D673" s="11" t="s">
        <v>179</v>
      </c>
      <c r="E673" s="1"/>
      <c r="F673" s="1" t="s">
        <v>19</v>
      </c>
      <c r="G673" s="8" t="s">
        <v>180</v>
      </c>
      <c r="H673" s="8">
        <v>8248438488</v>
      </c>
      <c r="I673" s="10" t="s">
        <v>30</v>
      </c>
      <c r="J673" s="8" t="s">
        <v>181</v>
      </c>
      <c r="K673" s="8" t="s">
        <v>27</v>
      </c>
      <c r="L673" s="8" t="s">
        <v>28</v>
      </c>
      <c r="M673" s="25" t="s">
        <v>137</v>
      </c>
      <c r="N673" s="6" t="s">
        <v>138</v>
      </c>
      <c r="O673" s="11">
        <v>550</v>
      </c>
      <c r="P673" s="25" t="s">
        <v>889</v>
      </c>
      <c r="Q673" s="12" t="str">
        <f t="shared" si="138"/>
        <v>23</v>
      </c>
      <c r="R673" s="12" t="str">
        <f t="shared" si="139"/>
        <v>05</v>
      </c>
      <c r="S673" s="6" t="s">
        <v>129</v>
      </c>
      <c r="T673" s="1" t="s">
        <v>130</v>
      </c>
      <c r="U673" s="6" t="s">
        <v>142</v>
      </c>
      <c r="V673" s="1" t="s">
        <v>143</v>
      </c>
      <c r="W673" s="1" t="s">
        <v>133</v>
      </c>
      <c r="X673" s="5">
        <v>46228</v>
      </c>
      <c r="Y673" s="1">
        <f t="shared" si="141"/>
        <v>94</v>
      </c>
      <c r="Z673" s="5">
        <v>46228</v>
      </c>
      <c r="AA673" s="3"/>
      <c r="AB673" s="3"/>
      <c r="AD673" s="133" t="str">
        <f t="shared" si="134"/>
        <v>Closed In July</v>
      </c>
    </row>
    <row r="674" spans="1:30" hidden="1">
      <c r="A674" s="9">
        <v>46134</v>
      </c>
      <c r="B674" s="1">
        <v>2026</v>
      </c>
      <c r="C674" s="8" t="s">
        <v>26</v>
      </c>
      <c r="D674" s="11" t="s">
        <v>179</v>
      </c>
      <c r="E674" s="1"/>
      <c r="F674" s="1" t="s">
        <v>19</v>
      </c>
      <c r="G674" s="8" t="s">
        <v>180</v>
      </c>
      <c r="H674" s="8">
        <v>8248438488</v>
      </c>
      <c r="I674" s="10" t="s">
        <v>30</v>
      </c>
      <c r="J674" s="8" t="s">
        <v>181</v>
      </c>
      <c r="K674" s="8" t="s">
        <v>27</v>
      </c>
      <c r="L674" s="8" t="s">
        <v>28</v>
      </c>
      <c r="M674" s="25" t="s">
        <v>137</v>
      </c>
      <c r="N674" s="6" t="s">
        <v>138</v>
      </c>
      <c r="O674" s="11">
        <v>550</v>
      </c>
      <c r="P674" s="25" t="s">
        <v>890</v>
      </c>
      <c r="Q674" s="12" t="str">
        <f t="shared" si="138"/>
        <v>23</v>
      </c>
      <c r="R674" s="12" t="str">
        <f t="shared" si="139"/>
        <v>05</v>
      </c>
      <c r="S674" s="6" t="s">
        <v>129</v>
      </c>
      <c r="T674" s="1" t="s">
        <v>130</v>
      </c>
      <c r="U674" s="6" t="s">
        <v>142</v>
      </c>
      <c r="V674" s="1" t="s">
        <v>143</v>
      </c>
      <c r="W674" s="1" t="s">
        <v>133</v>
      </c>
      <c r="X674" s="5">
        <v>46228</v>
      </c>
      <c r="Y674" s="1">
        <f t="shared" si="141"/>
        <v>94</v>
      </c>
      <c r="Z674" s="5">
        <v>46228</v>
      </c>
      <c r="AA674" s="3"/>
      <c r="AB674" s="3"/>
      <c r="AD674" s="133" t="str">
        <f t="shared" si="134"/>
        <v>Closed In July</v>
      </c>
    </row>
    <row r="675" spans="1:30" hidden="1">
      <c r="A675" s="9">
        <v>46134</v>
      </c>
      <c r="B675" s="1">
        <v>2026</v>
      </c>
      <c r="C675" s="8" t="s">
        <v>26</v>
      </c>
      <c r="D675" s="11" t="s">
        <v>179</v>
      </c>
      <c r="E675" s="1"/>
      <c r="F675" s="1" t="s">
        <v>19</v>
      </c>
      <c r="G675" s="8" t="s">
        <v>180</v>
      </c>
      <c r="H675" s="8">
        <v>8248438488</v>
      </c>
      <c r="I675" s="10" t="s">
        <v>30</v>
      </c>
      <c r="J675" s="8" t="s">
        <v>181</v>
      </c>
      <c r="K675" s="8" t="s">
        <v>27</v>
      </c>
      <c r="L675" s="8" t="s">
        <v>28</v>
      </c>
      <c r="M675" s="2" t="s">
        <v>146</v>
      </c>
      <c r="N675" s="6" t="s">
        <v>138</v>
      </c>
      <c r="O675" s="11">
        <v>550</v>
      </c>
      <c r="P675" s="25" t="s">
        <v>891</v>
      </c>
      <c r="Q675" s="12" t="str">
        <f t="shared" si="138"/>
        <v>23</v>
      </c>
      <c r="R675" s="12" t="str">
        <f t="shared" si="139"/>
        <v>05</v>
      </c>
      <c r="S675" s="6" t="s">
        <v>129</v>
      </c>
      <c r="T675" s="1" t="s">
        <v>130</v>
      </c>
      <c r="U675" s="6" t="s">
        <v>148</v>
      </c>
      <c r="V675" s="1" t="s">
        <v>143</v>
      </c>
      <c r="W675" s="1" t="s">
        <v>133</v>
      </c>
      <c r="X675" s="5">
        <v>46228</v>
      </c>
      <c r="Y675" s="1">
        <f t="shared" si="141"/>
        <v>94</v>
      </c>
      <c r="Z675" s="5">
        <v>46228</v>
      </c>
      <c r="AA675" s="3"/>
      <c r="AB675" s="3"/>
      <c r="AD675" s="133" t="str">
        <f t="shared" si="134"/>
        <v>Closed In July</v>
      </c>
    </row>
    <row r="676" spans="1:30" hidden="1">
      <c r="A676" s="9">
        <v>46134</v>
      </c>
      <c r="B676" s="1">
        <v>2026</v>
      </c>
      <c r="C676" s="8" t="s">
        <v>26</v>
      </c>
      <c r="D676" s="11" t="s">
        <v>179</v>
      </c>
      <c r="E676" s="1"/>
      <c r="F676" s="1" t="s">
        <v>19</v>
      </c>
      <c r="G676" s="8" t="s">
        <v>180</v>
      </c>
      <c r="H676" s="8">
        <v>8248438488</v>
      </c>
      <c r="I676" s="10" t="s">
        <v>30</v>
      </c>
      <c r="J676" s="8" t="s">
        <v>181</v>
      </c>
      <c r="K676" s="8" t="s">
        <v>27</v>
      </c>
      <c r="L676" s="8" t="s">
        <v>28</v>
      </c>
      <c r="M676" s="25" t="s">
        <v>137</v>
      </c>
      <c r="N676" s="6" t="s">
        <v>138</v>
      </c>
      <c r="O676" s="11">
        <v>550</v>
      </c>
      <c r="P676" s="25" t="s">
        <v>892</v>
      </c>
      <c r="Q676" s="12" t="str">
        <f t="shared" si="138"/>
        <v>23</v>
      </c>
      <c r="R676" s="12" t="str">
        <f t="shared" si="139"/>
        <v>05</v>
      </c>
      <c r="S676" s="6" t="s">
        <v>129</v>
      </c>
      <c r="T676" s="1" t="s">
        <v>130</v>
      </c>
      <c r="U676" s="6" t="s">
        <v>142</v>
      </c>
      <c r="V676" s="1" t="s">
        <v>143</v>
      </c>
      <c r="W676" s="1" t="s">
        <v>133</v>
      </c>
      <c r="X676" s="5">
        <v>46228</v>
      </c>
      <c r="Y676" s="1">
        <f t="shared" si="141"/>
        <v>94</v>
      </c>
      <c r="Z676" s="5">
        <v>46228</v>
      </c>
      <c r="AA676" s="3"/>
      <c r="AB676" s="3"/>
      <c r="AD676" s="133" t="str">
        <f t="shared" si="134"/>
        <v>Closed In July</v>
      </c>
    </row>
    <row r="677" spans="1:30" hidden="1">
      <c r="A677" s="9">
        <v>46134</v>
      </c>
      <c r="B677" s="1">
        <v>2026</v>
      </c>
      <c r="C677" s="8" t="s">
        <v>26</v>
      </c>
      <c r="D677" s="11" t="s">
        <v>179</v>
      </c>
      <c r="E677" s="1"/>
      <c r="F677" s="1" t="s">
        <v>19</v>
      </c>
      <c r="G677" s="8" t="s">
        <v>180</v>
      </c>
      <c r="H677" s="8">
        <v>8248438488</v>
      </c>
      <c r="I677" s="10" t="s">
        <v>30</v>
      </c>
      <c r="J677" s="8" t="s">
        <v>181</v>
      </c>
      <c r="K677" s="8" t="s">
        <v>27</v>
      </c>
      <c r="L677" s="8" t="s">
        <v>28</v>
      </c>
      <c r="M677" s="2" t="s">
        <v>146</v>
      </c>
      <c r="N677" s="6" t="s">
        <v>138</v>
      </c>
      <c r="O677" s="11">
        <v>550</v>
      </c>
      <c r="P677" s="25" t="s">
        <v>893</v>
      </c>
      <c r="Q677" s="12" t="str">
        <f t="shared" si="138"/>
        <v>23</v>
      </c>
      <c r="R677" s="12" t="str">
        <f t="shared" si="139"/>
        <v>05</v>
      </c>
      <c r="S677" s="6" t="s">
        <v>129</v>
      </c>
      <c r="T677" s="1" t="s">
        <v>130</v>
      </c>
      <c r="U677" s="6" t="s">
        <v>148</v>
      </c>
      <c r="V677" s="1" t="s">
        <v>143</v>
      </c>
      <c r="W677" s="1" t="s">
        <v>133</v>
      </c>
      <c r="X677" s="5">
        <v>46228</v>
      </c>
      <c r="Y677" s="1">
        <f t="shared" si="141"/>
        <v>94</v>
      </c>
      <c r="Z677" s="5">
        <v>46228</v>
      </c>
      <c r="AA677" s="3"/>
      <c r="AB677" s="3"/>
      <c r="AD677" s="133" t="str">
        <f t="shared" si="134"/>
        <v>Closed In July</v>
      </c>
    </row>
    <row r="678" spans="1:30" hidden="1">
      <c r="A678" s="9">
        <v>46134</v>
      </c>
      <c r="B678" s="1">
        <v>2026</v>
      </c>
      <c r="C678" s="8" t="s">
        <v>26</v>
      </c>
      <c r="D678" s="11" t="s">
        <v>179</v>
      </c>
      <c r="E678" s="1"/>
      <c r="F678" s="1" t="s">
        <v>19</v>
      </c>
      <c r="G678" s="8" t="s">
        <v>180</v>
      </c>
      <c r="H678" s="8">
        <v>8248438488</v>
      </c>
      <c r="I678" s="10" t="s">
        <v>30</v>
      </c>
      <c r="J678" s="8" t="s">
        <v>181</v>
      </c>
      <c r="K678" s="8" t="s">
        <v>27</v>
      </c>
      <c r="L678" s="8" t="s">
        <v>28</v>
      </c>
      <c r="M678" s="25" t="s">
        <v>137</v>
      </c>
      <c r="N678" s="6" t="s">
        <v>138</v>
      </c>
      <c r="O678" s="11">
        <v>550</v>
      </c>
      <c r="P678" s="25" t="s">
        <v>894</v>
      </c>
      <c r="Q678" s="12" t="str">
        <f t="shared" si="138"/>
        <v>23</v>
      </c>
      <c r="R678" s="12" t="str">
        <f t="shared" si="139"/>
        <v>05</v>
      </c>
      <c r="S678" s="6" t="s">
        <v>129</v>
      </c>
      <c r="T678" s="1" t="s">
        <v>130</v>
      </c>
      <c r="U678" s="6" t="s">
        <v>142</v>
      </c>
      <c r="V678" s="1" t="s">
        <v>143</v>
      </c>
      <c r="W678" s="1" t="s">
        <v>133</v>
      </c>
      <c r="X678" s="5">
        <v>46228</v>
      </c>
      <c r="Y678" s="1">
        <f t="shared" si="141"/>
        <v>94</v>
      </c>
      <c r="Z678" s="5">
        <v>46228</v>
      </c>
      <c r="AA678" s="3"/>
      <c r="AB678" s="3"/>
      <c r="AD678" s="133" t="str">
        <f t="shared" si="134"/>
        <v>Closed In July</v>
      </c>
    </row>
    <row r="679" spans="1:30" hidden="1">
      <c r="A679" s="9">
        <v>46134</v>
      </c>
      <c r="B679" s="1">
        <v>2026</v>
      </c>
      <c r="C679" s="8" t="s">
        <v>26</v>
      </c>
      <c r="D679" s="11" t="s">
        <v>179</v>
      </c>
      <c r="E679" s="1"/>
      <c r="F679" s="1" t="s">
        <v>19</v>
      </c>
      <c r="G679" s="8" t="s">
        <v>180</v>
      </c>
      <c r="H679" s="8">
        <v>8248438488</v>
      </c>
      <c r="I679" s="10" t="s">
        <v>30</v>
      </c>
      <c r="J679" s="8" t="s">
        <v>181</v>
      </c>
      <c r="K679" s="8" t="s">
        <v>27</v>
      </c>
      <c r="L679" s="8" t="s">
        <v>28</v>
      </c>
      <c r="M679" s="23" t="s">
        <v>585</v>
      </c>
      <c r="N679" s="8" t="s">
        <v>312</v>
      </c>
      <c r="O679" s="11">
        <v>550</v>
      </c>
      <c r="P679" s="25" t="s">
        <v>895</v>
      </c>
      <c r="Q679" s="12" t="str">
        <f t="shared" si="138"/>
        <v>23</v>
      </c>
      <c r="R679" s="12" t="str">
        <f t="shared" si="139"/>
        <v>05</v>
      </c>
      <c r="S679" s="6" t="s">
        <v>129</v>
      </c>
      <c r="T679" s="1" t="s">
        <v>130</v>
      </c>
      <c r="U679" s="6" t="s">
        <v>314</v>
      </c>
      <c r="V679" s="1" t="s">
        <v>258</v>
      </c>
      <c r="W679" s="1" t="s">
        <v>259</v>
      </c>
      <c r="X679" s="5">
        <v>46228</v>
      </c>
      <c r="Y679" s="1">
        <f t="shared" si="141"/>
        <v>94</v>
      </c>
      <c r="Z679" s="5">
        <v>46228</v>
      </c>
      <c r="AA679" s="3"/>
      <c r="AB679" s="3"/>
      <c r="AD679" s="133" t="str">
        <f t="shared" si="134"/>
        <v>Closed In July</v>
      </c>
    </row>
    <row r="680" spans="1:30" hidden="1">
      <c r="A680" s="9">
        <v>46134</v>
      </c>
      <c r="B680" s="1">
        <v>2026</v>
      </c>
      <c r="C680" s="8" t="s">
        <v>26</v>
      </c>
      <c r="D680" s="11" t="s">
        <v>179</v>
      </c>
      <c r="E680" s="1"/>
      <c r="F680" s="1" t="s">
        <v>19</v>
      </c>
      <c r="G680" s="8" t="s">
        <v>180</v>
      </c>
      <c r="H680" s="8">
        <v>8248438488</v>
      </c>
      <c r="I680" s="10" t="s">
        <v>30</v>
      </c>
      <c r="J680" s="8" t="s">
        <v>181</v>
      </c>
      <c r="K680" s="8" t="s">
        <v>27</v>
      </c>
      <c r="L680" s="8" t="s">
        <v>28</v>
      </c>
      <c r="M680" s="25" t="s">
        <v>137</v>
      </c>
      <c r="N680" s="6" t="s">
        <v>138</v>
      </c>
      <c r="O680" s="11">
        <v>550</v>
      </c>
      <c r="P680" s="25" t="s">
        <v>896</v>
      </c>
      <c r="Q680" s="12" t="str">
        <f t="shared" si="138"/>
        <v>23</v>
      </c>
      <c r="R680" s="12" t="str">
        <f t="shared" si="139"/>
        <v>05</v>
      </c>
      <c r="S680" s="6" t="s">
        <v>129</v>
      </c>
      <c r="T680" s="1" t="s">
        <v>130</v>
      </c>
      <c r="U680" s="6" t="s">
        <v>142</v>
      </c>
      <c r="V680" s="1" t="s">
        <v>143</v>
      </c>
      <c r="W680" s="1" t="s">
        <v>133</v>
      </c>
      <c r="X680" s="5">
        <v>46228</v>
      </c>
      <c r="Y680" s="1">
        <f t="shared" si="141"/>
        <v>94</v>
      </c>
      <c r="Z680" s="5">
        <v>46228</v>
      </c>
      <c r="AA680" s="3"/>
      <c r="AB680" s="3"/>
      <c r="AD680" s="133" t="str">
        <f t="shared" si="134"/>
        <v>Closed In July</v>
      </c>
    </row>
    <row r="681" spans="1:30" hidden="1">
      <c r="A681" s="9">
        <v>46134</v>
      </c>
      <c r="B681" s="1">
        <v>2026</v>
      </c>
      <c r="C681" s="8" t="s">
        <v>26</v>
      </c>
      <c r="D681" s="11" t="s">
        <v>179</v>
      </c>
      <c r="E681" s="1"/>
      <c r="F681" s="1" t="s">
        <v>19</v>
      </c>
      <c r="G681" s="8" t="s">
        <v>180</v>
      </c>
      <c r="H681" s="8">
        <v>8248438488</v>
      </c>
      <c r="I681" s="10" t="s">
        <v>30</v>
      </c>
      <c r="J681" s="8" t="s">
        <v>181</v>
      </c>
      <c r="K681" s="8" t="s">
        <v>27</v>
      </c>
      <c r="L681" s="8" t="s">
        <v>28</v>
      </c>
      <c r="M681" s="25" t="s">
        <v>137</v>
      </c>
      <c r="N681" s="6" t="s">
        <v>138</v>
      </c>
      <c r="O681" s="11">
        <v>550</v>
      </c>
      <c r="P681" s="25" t="s">
        <v>897</v>
      </c>
      <c r="Q681" s="12" t="str">
        <f t="shared" si="138"/>
        <v>23</v>
      </c>
      <c r="R681" s="12" t="str">
        <f t="shared" si="139"/>
        <v>05</v>
      </c>
      <c r="S681" s="6" t="s">
        <v>129</v>
      </c>
      <c r="T681" s="1" t="s">
        <v>130</v>
      </c>
      <c r="U681" s="6" t="s">
        <v>142</v>
      </c>
      <c r="V681" s="1" t="s">
        <v>143</v>
      </c>
      <c r="W681" s="1" t="s">
        <v>133</v>
      </c>
      <c r="X681" s="5">
        <v>46228</v>
      </c>
      <c r="Y681" s="1">
        <f t="shared" si="141"/>
        <v>94</v>
      </c>
      <c r="Z681" s="5">
        <v>46228</v>
      </c>
      <c r="AA681" s="3"/>
      <c r="AB681" s="3"/>
      <c r="AD681" s="133" t="str">
        <f t="shared" si="134"/>
        <v>Closed In July</v>
      </c>
    </row>
    <row r="682" spans="1:30" hidden="1">
      <c r="A682" s="9">
        <v>46134</v>
      </c>
      <c r="B682" s="1">
        <v>2026</v>
      </c>
      <c r="C682" s="8" t="s">
        <v>26</v>
      </c>
      <c r="D682" s="11" t="s">
        <v>179</v>
      </c>
      <c r="E682" s="1"/>
      <c r="F682" s="1" t="s">
        <v>19</v>
      </c>
      <c r="G682" s="8" t="s">
        <v>180</v>
      </c>
      <c r="H682" s="8">
        <v>8248438488</v>
      </c>
      <c r="I682" s="10" t="s">
        <v>30</v>
      </c>
      <c r="J682" s="8" t="s">
        <v>181</v>
      </c>
      <c r="K682" s="8" t="s">
        <v>27</v>
      </c>
      <c r="L682" s="8" t="s">
        <v>28</v>
      </c>
      <c r="M682" s="25" t="s">
        <v>137</v>
      </c>
      <c r="N682" s="6" t="s">
        <v>138</v>
      </c>
      <c r="O682" s="11">
        <v>550</v>
      </c>
      <c r="P682" s="25" t="s">
        <v>898</v>
      </c>
      <c r="Q682" s="12" t="str">
        <f t="shared" si="138"/>
        <v>23</v>
      </c>
      <c r="R682" s="12" t="str">
        <f t="shared" si="139"/>
        <v>05</v>
      </c>
      <c r="S682" s="6" t="s">
        <v>129</v>
      </c>
      <c r="T682" s="1" t="s">
        <v>130</v>
      </c>
      <c r="U682" s="6" t="s">
        <v>142</v>
      </c>
      <c r="V682" s="1" t="s">
        <v>143</v>
      </c>
      <c r="W682" s="1" t="s">
        <v>133</v>
      </c>
      <c r="X682" s="5">
        <v>46228</v>
      </c>
      <c r="Y682" s="1">
        <f t="shared" si="141"/>
        <v>94</v>
      </c>
      <c r="Z682" s="5">
        <v>46228</v>
      </c>
      <c r="AA682" s="3"/>
      <c r="AB682" s="3"/>
      <c r="AD682" s="133" t="str">
        <f t="shared" si="134"/>
        <v>Closed In July</v>
      </c>
    </row>
    <row r="683" spans="1:30" hidden="1">
      <c r="A683" s="9">
        <v>46134</v>
      </c>
      <c r="B683" s="1">
        <v>2026</v>
      </c>
      <c r="C683" s="8" t="s">
        <v>26</v>
      </c>
      <c r="D683" s="11" t="s">
        <v>179</v>
      </c>
      <c r="E683" s="1"/>
      <c r="F683" s="1" t="s">
        <v>19</v>
      </c>
      <c r="G683" s="8" t="s">
        <v>180</v>
      </c>
      <c r="H683" s="8">
        <v>8248438488</v>
      </c>
      <c r="I683" s="10" t="s">
        <v>30</v>
      </c>
      <c r="J683" s="8" t="s">
        <v>181</v>
      </c>
      <c r="K683" s="8" t="s">
        <v>27</v>
      </c>
      <c r="L683" s="8" t="s">
        <v>28</v>
      </c>
      <c r="M683" s="25" t="s">
        <v>137</v>
      </c>
      <c r="N683" s="6" t="s">
        <v>138</v>
      </c>
      <c r="O683" s="11">
        <v>550</v>
      </c>
      <c r="P683" s="25" t="s">
        <v>899</v>
      </c>
      <c r="Q683" s="12" t="str">
        <f t="shared" si="138"/>
        <v>23</v>
      </c>
      <c r="R683" s="12" t="str">
        <f t="shared" si="139"/>
        <v>05</v>
      </c>
      <c r="S683" s="6" t="s">
        <v>129</v>
      </c>
      <c r="T683" s="1" t="s">
        <v>130</v>
      </c>
      <c r="U683" s="6" t="s">
        <v>142</v>
      </c>
      <c r="V683" s="1" t="s">
        <v>143</v>
      </c>
      <c r="W683" s="1" t="s">
        <v>133</v>
      </c>
      <c r="X683" s="5">
        <v>46228</v>
      </c>
      <c r="Y683" s="1">
        <f t="shared" si="141"/>
        <v>94</v>
      </c>
      <c r="Z683" s="5">
        <v>46228</v>
      </c>
      <c r="AA683" s="3"/>
      <c r="AB683" s="3"/>
      <c r="AD683" s="133" t="str">
        <f t="shared" si="134"/>
        <v>Closed In July</v>
      </c>
    </row>
    <row r="684" spans="1:30" hidden="1">
      <c r="A684" s="9">
        <v>46134</v>
      </c>
      <c r="B684" s="1">
        <v>2026</v>
      </c>
      <c r="C684" s="8" t="s">
        <v>26</v>
      </c>
      <c r="D684" s="11" t="s">
        <v>179</v>
      </c>
      <c r="E684" s="1"/>
      <c r="F684" s="1" t="s">
        <v>19</v>
      </c>
      <c r="G684" s="8" t="s">
        <v>180</v>
      </c>
      <c r="H684" s="8">
        <v>8248438488</v>
      </c>
      <c r="I684" s="10" t="s">
        <v>30</v>
      </c>
      <c r="J684" s="8" t="s">
        <v>181</v>
      </c>
      <c r="K684" s="8" t="s">
        <v>27</v>
      </c>
      <c r="L684" s="8" t="s">
        <v>28</v>
      </c>
      <c r="M684" s="25" t="s">
        <v>137</v>
      </c>
      <c r="N684" s="6" t="s">
        <v>138</v>
      </c>
      <c r="O684" s="11">
        <v>550</v>
      </c>
      <c r="P684" s="25" t="s">
        <v>900</v>
      </c>
      <c r="Q684" s="12" t="str">
        <f t="shared" si="138"/>
        <v>23</v>
      </c>
      <c r="R684" s="12" t="str">
        <f t="shared" si="139"/>
        <v>05</v>
      </c>
      <c r="S684" s="6" t="s">
        <v>129</v>
      </c>
      <c r="T684" s="1" t="s">
        <v>130</v>
      </c>
      <c r="U684" s="6" t="s">
        <v>142</v>
      </c>
      <c r="V684" s="1" t="s">
        <v>143</v>
      </c>
      <c r="W684" s="1" t="s">
        <v>133</v>
      </c>
      <c r="X684" s="5">
        <v>46228</v>
      </c>
      <c r="Y684" s="1">
        <f t="shared" si="141"/>
        <v>94</v>
      </c>
      <c r="Z684" s="5">
        <v>46228</v>
      </c>
      <c r="AA684" s="3"/>
      <c r="AB684" s="3"/>
      <c r="AD684" s="133" t="str">
        <f t="shared" si="134"/>
        <v>Closed In July</v>
      </c>
    </row>
    <row r="685" spans="1:30" hidden="1">
      <c r="A685" s="9">
        <v>46134</v>
      </c>
      <c r="B685" s="1">
        <v>2026</v>
      </c>
      <c r="C685" s="8" t="s">
        <v>26</v>
      </c>
      <c r="D685" s="11" t="s">
        <v>179</v>
      </c>
      <c r="E685" s="1"/>
      <c r="F685" s="1" t="s">
        <v>19</v>
      </c>
      <c r="G685" s="8" t="s">
        <v>180</v>
      </c>
      <c r="H685" s="8">
        <v>8248438488</v>
      </c>
      <c r="I685" s="10" t="s">
        <v>30</v>
      </c>
      <c r="J685" s="8" t="s">
        <v>181</v>
      </c>
      <c r="K685" s="8" t="s">
        <v>27</v>
      </c>
      <c r="L685" s="8" t="s">
        <v>28</v>
      </c>
      <c r="M685" s="25" t="s">
        <v>137</v>
      </c>
      <c r="N685" s="6" t="s">
        <v>138</v>
      </c>
      <c r="O685" s="11">
        <v>550</v>
      </c>
      <c r="P685" s="25" t="s">
        <v>901</v>
      </c>
      <c r="Q685" s="12" t="str">
        <f t="shared" si="138"/>
        <v>23</v>
      </c>
      <c r="R685" s="12" t="str">
        <f t="shared" si="139"/>
        <v>05</v>
      </c>
      <c r="S685" s="6" t="s">
        <v>129</v>
      </c>
      <c r="T685" s="1" t="s">
        <v>130</v>
      </c>
      <c r="U685" s="6" t="s">
        <v>142</v>
      </c>
      <c r="V685" s="1" t="s">
        <v>143</v>
      </c>
      <c r="W685" s="1" t="s">
        <v>133</v>
      </c>
      <c r="X685" s="5">
        <v>46228</v>
      </c>
      <c r="Y685" s="1">
        <f t="shared" si="141"/>
        <v>94</v>
      </c>
      <c r="Z685" s="5">
        <v>46228</v>
      </c>
      <c r="AA685" s="3"/>
      <c r="AB685" s="3"/>
      <c r="AD685" s="133" t="str">
        <f t="shared" si="134"/>
        <v>Closed In July</v>
      </c>
    </row>
    <row r="686" spans="1:30" hidden="1">
      <c r="A686" s="9">
        <v>46134</v>
      </c>
      <c r="B686" s="1">
        <v>2026</v>
      </c>
      <c r="C686" s="8" t="s">
        <v>26</v>
      </c>
      <c r="D686" s="11" t="s">
        <v>179</v>
      </c>
      <c r="E686" s="1"/>
      <c r="F686" s="1" t="s">
        <v>19</v>
      </c>
      <c r="G686" s="8" t="s">
        <v>180</v>
      </c>
      <c r="H686" s="8">
        <v>8248438488</v>
      </c>
      <c r="I686" s="10" t="s">
        <v>30</v>
      </c>
      <c r="J686" s="8" t="s">
        <v>181</v>
      </c>
      <c r="K686" s="8" t="s">
        <v>27</v>
      </c>
      <c r="L686" s="8" t="s">
        <v>28</v>
      </c>
      <c r="M686" s="25" t="s">
        <v>137</v>
      </c>
      <c r="N686" s="6" t="s">
        <v>138</v>
      </c>
      <c r="O686" s="11">
        <v>550</v>
      </c>
      <c r="P686" s="25" t="s">
        <v>902</v>
      </c>
      <c r="Q686" s="12" t="str">
        <f t="shared" si="138"/>
        <v>23</v>
      </c>
      <c r="R686" s="12" t="str">
        <f t="shared" si="139"/>
        <v>05</v>
      </c>
      <c r="S686" s="6" t="s">
        <v>129</v>
      </c>
      <c r="T686" s="1" t="s">
        <v>130</v>
      </c>
      <c r="U686" s="6" t="s">
        <v>142</v>
      </c>
      <c r="V686" s="1" t="s">
        <v>143</v>
      </c>
      <c r="W686" s="1" t="s">
        <v>133</v>
      </c>
      <c r="X686" s="5">
        <v>46228</v>
      </c>
      <c r="Y686" s="1">
        <f t="shared" si="141"/>
        <v>94</v>
      </c>
      <c r="Z686" s="5">
        <v>46228</v>
      </c>
      <c r="AA686" s="3"/>
      <c r="AB686" s="3"/>
      <c r="AD686" s="133" t="str">
        <f t="shared" si="134"/>
        <v>Closed In July</v>
      </c>
    </row>
    <row r="687" spans="1:30" hidden="1">
      <c r="A687" s="9">
        <v>46134</v>
      </c>
      <c r="B687" s="1">
        <v>2026</v>
      </c>
      <c r="C687" s="8" t="s">
        <v>26</v>
      </c>
      <c r="D687" s="11" t="s">
        <v>179</v>
      </c>
      <c r="E687" s="1"/>
      <c r="F687" s="1" t="s">
        <v>19</v>
      </c>
      <c r="G687" s="8" t="s">
        <v>180</v>
      </c>
      <c r="H687" s="8">
        <v>8248438488</v>
      </c>
      <c r="I687" s="10" t="s">
        <v>30</v>
      </c>
      <c r="J687" s="8" t="s">
        <v>181</v>
      </c>
      <c r="K687" s="8" t="s">
        <v>27</v>
      </c>
      <c r="L687" s="8" t="s">
        <v>28</v>
      </c>
      <c r="M687" s="25" t="s">
        <v>137</v>
      </c>
      <c r="N687" s="6" t="s">
        <v>138</v>
      </c>
      <c r="O687" s="11">
        <v>550</v>
      </c>
      <c r="P687" s="25" t="s">
        <v>903</v>
      </c>
      <c r="Q687" s="12" t="str">
        <f t="shared" si="138"/>
        <v>23</v>
      </c>
      <c r="R687" s="12" t="str">
        <f t="shared" si="139"/>
        <v>05</v>
      </c>
      <c r="S687" s="6" t="s">
        <v>129</v>
      </c>
      <c r="T687" s="1" t="s">
        <v>130</v>
      </c>
      <c r="U687" s="6" t="s">
        <v>142</v>
      </c>
      <c r="V687" s="1" t="s">
        <v>143</v>
      </c>
      <c r="W687" s="1" t="s">
        <v>133</v>
      </c>
      <c r="X687" s="5">
        <v>46228</v>
      </c>
      <c r="Y687" s="1">
        <f t="shared" si="141"/>
        <v>94</v>
      </c>
      <c r="Z687" s="5">
        <v>46228</v>
      </c>
      <c r="AA687" s="3"/>
      <c r="AB687" s="3"/>
      <c r="AD687" s="133" t="str">
        <f t="shared" si="134"/>
        <v>Closed In July</v>
      </c>
    </row>
    <row r="688" spans="1:30" hidden="1">
      <c r="A688" s="21">
        <v>46227</v>
      </c>
      <c r="B688" s="1">
        <v>2026</v>
      </c>
      <c r="C688" s="8" t="s">
        <v>43</v>
      </c>
      <c r="D688" s="8" t="s">
        <v>459</v>
      </c>
      <c r="E688" s="1"/>
      <c r="F688" s="1" t="s">
        <v>19</v>
      </c>
      <c r="G688" s="8" t="s">
        <v>497</v>
      </c>
      <c r="H688" s="8">
        <v>7719846027</v>
      </c>
      <c r="I688" s="10" t="s">
        <v>83</v>
      </c>
      <c r="J688" s="8" t="s">
        <v>773</v>
      </c>
      <c r="K688" s="8" t="s">
        <v>47</v>
      </c>
      <c r="L688" s="31" t="s">
        <v>1107</v>
      </c>
      <c r="M688" s="2" t="s">
        <v>276</v>
      </c>
      <c r="N688" s="6" t="s">
        <v>277</v>
      </c>
      <c r="O688" s="11">
        <v>550</v>
      </c>
      <c r="P688" s="8" t="s">
        <v>904</v>
      </c>
      <c r="Q688" s="12" t="str">
        <f t="shared" ref="Q688" si="142">MID(P688,5,2)</f>
        <v>23</v>
      </c>
      <c r="R688" s="12" t="str">
        <f t="shared" ref="R688" si="143">MID(P688,7,2)</f>
        <v>03</v>
      </c>
      <c r="S688" s="6" t="s">
        <v>129</v>
      </c>
      <c r="T688" s="1" t="s">
        <v>130</v>
      </c>
      <c r="U688" s="6" t="s">
        <v>279</v>
      </c>
      <c r="V688" s="1" t="s">
        <v>258</v>
      </c>
      <c r="W688" s="1" t="s">
        <v>259</v>
      </c>
      <c r="X688" s="5">
        <v>46228</v>
      </c>
      <c r="Y688" s="1">
        <f t="shared" si="141"/>
        <v>1</v>
      </c>
      <c r="Z688" s="5">
        <v>46228</v>
      </c>
      <c r="AA688" s="3"/>
      <c r="AB688" s="3"/>
      <c r="AD688" s="133" t="str">
        <f t="shared" si="134"/>
        <v>Closed In July</v>
      </c>
    </row>
    <row r="689" spans="1:30" hidden="1">
      <c r="A689" s="21">
        <v>46227</v>
      </c>
      <c r="B689" s="1">
        <v>2026</v>
      </c>
      <c r="C689" s="8" t="s">
        <v>43</v>
      </c>
      <c r="D689" s="8" t="s">
        <v>459</v>
      </c>
      <c r="E689" s="1"/>
      <c r="F689" s="1" t="s">
        <v>19</v>
      </c>
      <c r="G689" s="8" t="s">
        <v>497</v>
      </c>
      <c r="H689" s="8">
        <v>7719846027</v>
      </c>
      <c r="I689" s="10" t="s">
        <v>83</v>
      </c>
      <c r="J689" s="8" t="s">
        <v>773</v>
      </c>
      <c r="K689" s="8" t="s">
        <v>47</v>
      </c>
      <c r="L689" s="31" t="s">
        <v>1107</v>
      </c>
      <c r="M689" s="2" t="s">
        <v>276</v>
      </c>
      <c r="N689" s="6" t="s">
        <v>277</v>
      </c>
      <c r="O689" s="11">
        <v>550</v>
      </c>
      <c r="P689" s="2" t="s">
        <v>905</v>
      </c>
      <c r="Q689" s="12" t="str">
        <f t="shared" ref="Q689:Q696" si="144">MID(P689,5,2)</f>
        <v/>
      </c>
      <c r="R689" s="12" t="str">
        <f t="shared" ref="R689:R696" si="145">MID(P689,7,2)</f>
        <v/>
      </c>
      <c r="S689" s="6" t="s">
        <v>129</v>
      </c>
      <c r="T689" s="1" t="s">
        <v>130</v>
      </c>
      <c r="U689" s="6" t="s">
        <v>279</v>
      </c>
      <c r="V689" s="1" t="s">
        <v>258</v>
      </c>
      <c r="W689" s="1" t="s">
        <v>259</v>
      </c>
      <c r="X689" s="5">
        <v>46228</v>
      </c>
      <c r="Y689" s="1">
        <f t="shared" si="141"/>
        <v>1</v>
      </c>
      <c r="Z689" s="5">
        <v>46228</v>
      </c>
      <c r="AA689" s="3"/>
      <c r="AB689" s="3"/>
      <c r="AD689" s="133" t="str">
        <f t="shared" si="134"/>
        <v>Closed In July</v>
      </c>
    </row>
    <row r="690" spans="1:30" hidden="1">
      <c r="A690" s="21">
        <v>46227</v>
      </c>
      <c r="B690" s="1">
        <v>2026</v>
      </c>
      <c r="C690" s="8" t="s">
        <v>43</v>
      </c>
      <c r="D690" s="8" t="s">
        <v>459</v>
      </c>
      <c r="E690" s="1"/>
      <c r="F690" s="1" t="s">
        <v>19</v>
      </c>
      <c r="G690" s="8" t="s">
        <v>497</v>
      </c>
      <c r="H690" s="8">
        <v>7719846027</v>
      </c>
      <c r="I690" s="10" t="s">
        <v>83</v>
      </c>
      <c r="J690" s="8" t="s">
        <v>773</v>
      </c>
      <c r="K690" s="8" t="s">
        <v>47</v>
      </c>
      <c r="L690" s="31" t="s">
        <v>1107</v>
      </c>
      <c r="M690" s="2" t="s">
        <v>276</v>
      </c>
      <c r="N690" s="6" t="s">
        <v>277</v>
      </c>
      <c r="O690" s="11">
        <v>550</v>
      </c>
      <c r="P690" s="2" t="s">
        <v>905</v>
      </c>
      <c r="Q690" s="12" t="str">
        <f t="shared" si="144"/>
        <v/>
      </c>
      <c r="R690" s="12" t="str">
        <f t="shared" si="145"/>
        <v/>
      </c>
      <c r="S690" s="6" t="s">
        <v>129</v>
      </c>
      <c r="T690" s="1" t="s">
        <v>130</v>
      </c>
      <c r="U690" s="6" t="s">
        <v>279</v>
      </c>
      <c r="V690" s="1" t="s">
        <v>258</v>
      </c>
      <c r="W690" s="1" t="s">
        <v>259</v>
      </c>
      <c r="X690" s="5">
        <v>46228</v>
      </c>
      <c r="Y690" s="1">
        <f t="shared" si="141"/>
        <v>1</v>
      </c>
      <c r="Z690" s="5">
        <v>46228</v>
      </c>
      <c r="AA690" s="3"/>
      <c r="AB690" s="3"/>
      <c r="AD690" s="133" t="str">
        <f t="shared" si="134"/>
        <v>Closed In July</v>
      </c>
    </row>
    <row r="691" spans="1:30" hidden="1">
      <c r="A691" s="21">
        <v>46227</v>
      </c>
      <c r="B691" s="1">
        <v>2026</v>
      </c>
      <c r="C691" s="8" t="s">
        <v>43</v>
      </c>
      <c r="D691" s="8" t="s">
        <v>459</v>
      </c>
      <c r="E691" s="1"/>
      <c r="F691" s="1" t="s">
        <v>19</v>
      </c>
      <c r="G691" s="8" t="s">
        <v>497</v>
      </c>
      <c r="H691" s="8">
        <v>7719846027</v>
      </c>
      <c r="I691" s="10" t="s">
        <v>83</v>
      </c>
      <c r="J691" s="8" t="s">
        <v>773</v>
      </c>
      <c r="K691" s="8" t="s">
        <v>47</v>
      </c>
      <c r="L691" s="31" t="s">
        <v>1107</v>
      </c>
      <c r="M691" s="2" t="s">
        <v>276</v>
      </c>
      <c r="N691" s="6" t="s">
        <v>277</v>
      </c>
      <c r="O691" s="11">
        <v>550</v>
      </c>
      <c r="P691" s="2" t="s">
        <v>905</v>
      </c>
      <c r="Q691" s="12" t="str">
        <f t="shared" si="144"/>
        <v/>
      </c>
      <c r="R691" s="12" t="str">
        <f t="shared" si="145"/>
        <v/>
      </c>
      <c r="S691" s="6" t="s">
        <v>129</v>
      </c>
      <c r="T691" s="1" t="s">
        <v>130</v>
      </c>
      <c r="U691" s="6" t="s">
        <v>279</v>
      </c>
      <c r="V691" s="1" t="s">
        <v>258</v>
      </c>
      <c r="W691" s="1" t="s">
        <v>259</v>
      </c>
      <c r="X691" s="5">
        <v>46228</v>
      </c>
      <c r="Y691" s="1">
        <f t="shared" si="141"/>
        <v>1</v>
      </c>
      <c r="Z691" s="5">
        <v>46228</v>
      </c>
      <c r="AA691" s="3"/>
      <c r="AB691" s="3"/>
      <c r="AD691" s="133" t="str">
        <f t="shared" si="134"/>
        <v>Closed In July</v>
      </c>
    </row>
    <row r="692" spans="1:30" hidden="1">
      <c r="A692" s="21">
        <v>46227</v>
      </c>
      <c r="B692" s="1">
        <v>2026</v>
      </c>
      <c r="C692" s="8" t="s">
        <v>43</v>
      </c>
      <c r="D692" s="8" t="s">
        <v>459</v>
      </c>
      <c r="E692" s="1"/>
      <c r="F692" s="1" t="s">
        <v>19</v>
      </c>
      <c r="G692" s="8" t="s">
        <v>497</v>
      </c>
      <c r="H692" s="8">
        <v>7719846027</v>
      </c>
      <c r="I692" s="10" t="s">
        <v>83</v>
      </c>
      <c r="J692" s="8" t="s">
        <v>773</v>
      </c>
      <c r="K692" s="8" t="s">
        <v>47</v>
      </c>
      <c r="L692" s="31" t="s">
        <v>1107</v>
      </c>
      <c r="M692" s="2" t="s">
        <v>276</v>
      </c>
      <c r="N692" s="6" t="s">
        <v>277</v>
      </c>
      <c r="O692" s="11">
        <v>550</v>
      </c>
      <c r="P692" s="2" t="s">
        <v>905</v>
      </c>
      <c r="Q692" s="12" t="str">
        <f t="shared" si="144"/>
        <v/>
      </c>
      <c r="R692" s="12" t="str">
        <f t="shared" si="145"/>
        <v/>
      </c>
      <c r="S692" s="6" t="s">
        <v>129</v>
      </c>
      <c r="T692" s="1" t="s">
        <v>130</v>
      </c>
      <c r="U692" s="6" t="s">
        <v>279</v>
      </c>
      <c r="V692" s="1" t="s">
        <v>258</v>
      </c>
      <c r="W692" s="1" t="s">
        <v>259</v>
      </c>
      <c r="X692" s="5">
        <v>46228</v>
      </c>
      <c r="Y692" s="1">
        <f t="shared" si="141"/>
        <v>1</v>
      </c>
      <c r="Z692" s="5">
        <v>46228</v>
      </c>
      <c r="AA692" s="3"/>
      <c r="AB692" s="3"/>
      <c r="AD692" s="133" t="str">
        <f t="shared" si="134"/>
        <v>Closed In July</v>
      </c>
    </row>
    <row r="693" spans="1:30" hidden="1">
      <c r="A693" s="21">
        <v>46227</v>
      </c>
      <c r="B693" s="1">
        <v>2026</v>
      </c>
      <c r="C693" s="8" t="s">
        <v>43</v>
      </c>
      <c r="D693" s="8" t="s">
        <v>459</v>
      </c>
      <c r="E693" s="1"/>
      <c r="F693" s="1" t="s">
        <v>19</v>
      </c>
      <c r="G693" s="8" t="s">
        <v>497</v>
      </c>
      <c r="H693" s="8">
        <v>7719846027</v>
      </c>
      <c r="I693" s="10" t="s">
        <v>83</v>
      </c>
      <c r="J693" s="8" t="s">
        <v>773</v>
      </c>
      <c r="K693" s="8" t="s">
        <v>47</v>
      </c>
      <c r="L693" s="31" t="s">
        <v>1107</v>
      </c>
      <c r="M693" s="2" t="s">
        <v>276</v>
      </c>
      <c r="N693" s="6" t="s">
        <v>277</v>
      </c>
      <c r="O693" s="11">
        <v>550</v>
      </c>
      <c r="P693" s="2" t="s">
        <v>905</v>
      </c>
      <c r="Q693" s="12" t="str">
        <f t="shared" si="144"/>
        <v/>
      </c>
      <c r="R693" s="12" t="str">
        <f t="shared" si="145"/>
        <v/>
      </c>
      <c r="S693" s="6" t="s">
        <v>129</v>
      </c>
      <c r="T693" s="1" t="s">
        <v>130</v>
      </c>
      <c r="U693" s="6" t="s">
        <v>279</v>
      </c>
      <c r="V693" s="1" t="s">
        <v>258</v>
      </c>
      <c r="W693" s="1" t="s">
        <v>259</v>
      </c>
      <c r="X693" s="5">
        <v>46228</v>
      </c>
      <c r="Y693" s="1">
        <f t="shared" si="141"/>
        <v>1</v>
      </c>
      <c r="Z693" s="5">
        <v>46228</v>
      </c>
      <c r="AA693" s="3"/>
      <c r="AB693" s="3"/>
      <c r="AD693" s="133" t="str">
        <f t="shared" si="134"/>
        <v>Closed In July</v>
      </c>
    </row>
    <row r="694" spans="1:30" hidden="1">
      <c r="A694" s="21">
        <v>46227</v>
      </c>
      <c r="B694" s="1">
        <v>2026</v>
      </c>
      <c r="C694" s="8" t="s">
        <v>43</v>
      </c>
      <c r="D694" s="8" t="s">
        <v>459</v>
      </c>
      <c r="E694" s="1"/>
      <c r="F694" s="1" t="s">
        <v>19</v>
      </c>
      <c r="G694" s="8" t="s">
        <v>497</v>
      </c>
      <c r="H694" s="8">
        <v>7719846027</v>
      </c>
      <c r="I694" s="10" t="s">
        <v>83</v>
      </c>
      <c r="J694" s="8" t="s">
        <v>773</v>
      </c>
      <c r="K694" s="8" t="s">
        <v>47</v>
      </c>
      <c r="L694" s="31" t="s">
        <v>1107</v>
      </c>
      <c r="M694" s="2" t="s">
        <v>276</v>
      </c>
      <c r="N694" s="6" t="s">
        <v>277</v>
      </c>
      <c r="O694" s="11">
        <v>550</v>
      </c>
      <c r="P694" s="2" t="s">
        <v>905</v>
      </c>
      <c r="Q694" s="12" t="str">
        <f t="shared" si="144"/>
        <v/>
      </c>
      <c r="R694" s="12" t="str">
        <f t="shared" si="145"/>
        <v/>
      </c>
      <c r="S694" s="6" t="s">
        <v>129</v>
      </c>
      <c r="T694" s="1" t="s">
        <v>130</v>
      </c>
      <c r="U694" s="6" t="s">
        <v>279</v>
      </c>
      <c r="V694" s="1" t="s">
        <v>258</v>
      </c>
      <c r="W694" s="1" t="s">
        <v>259</v>
      </c>
      <c r="X694" s="5">
        <v>46228</v>
      </c>
      <c r="Y694" s="1">
        <f t="shared" si="141"/>
        <v>1</v>
      </c>
      <c r="Z694" s="5">
        <v>46228</v>
      </c>
      <c r="AA694" s="3"/>
      <c r="AB694" s="3"/>
      <c r="AD694" s="133" t="str">
        <f t="shared" si="134"/>
        <v>Closed In July</v>
      </c>
    </row>
    <row r="695" spans="1:30" hidden="1">
      <c r="A695" s="21">
        <v>46227</v>
      </c>
      <c r="B695" s="1">
        <v>2026</v>
      </c>
      <c r="C695" s="8" t="s">
        <v>43</v>
      </c>
      <c r="D695" s="8" t="s">
        <v>459</v>
      </c>
      <c r="E695" s="1"/>
      <c r="F695" s="1" t="s">
        <v>19</v>
      </c>
      <c r="G695" s="8" t="s">
        <v>497</v>
      </c>
      <c r="H695" s="8">
        <v>7719846027</v>
      </c>
      <c r="I695" s="10" t="s">
        <v>83</v>
      </c>
      <c r="J695" s="8" t="s">
        <v>773</v>
      </c>
      <c r="K695" s="8" t="s">
        <v>47</v>
      </c>
      <c r="L695" s="31" t="s">
        <v>1107</v>
      </c>
      <c r="M695" s="2" t="s">
        <v>276</v>
      </c>
      <c r="N695" s="6" t="s">
        <v>277</v>
      </c>
      <c r="O695" s="11">
        <v>550</v>
      </c>
      <c r="P695" s="2" t="s">
        <v>905</v>
      </c>
      <c r="Q695" s="12" t="str">
        <f t="shared" si="144"/>
        <v/>
      </c>
      <c r="R695" s="12" t="str">
        <f t="shared" si="145"/>
        <v/>
      </c>
      <c r="S695" s="6" t="s">
        <v>129</v>
      </c>
      <c r="T695" s="1" t="s">
        <v>130</v>
      </c>
      <c r="U695" s="6" t="s">
        <v>279</v>
      </c>
      <c r="V695" s="1" t="s">
        <v>258</v>
      </c>
      <c r="W695" s="1" t="s">
        <v>259</v>
      </c>
      <c r="X695" s="5">
        <v>46228</v>
      </c>
      <c r="Y695" s="1">
        <f t="shared" si="141"/>
        <v>1</v>
      </c>
      <c r="Z695" s="5">
        <v>46228</v>
      </c>
      <c r="AA695" s="3"/>
      <c r="AB695" s="3"/>
      <c r="AD695" s="133" t="str">
        <f t="shared" si="134"/>
        <v>Closed In July</v>
      </c>
    </row>
    <row r="696" spans="1:30" hidden="1">
      <c r="A696" s="21">
        <v>46214</v>
      </c>
      <c r="B696" s="1">
        <v>2026</v>
      </c>
      <c r="C696" s="8" t="s">
        <v>52</v>
      </c>
      <c r="D696" s="8" t="s">
        <v>459</v>
      </c>
      <c r="E696" s="1"/>
      <c r="F696" s="1" t="s">
        <v>19</v>
      </c>
      <c r="G696" s="11" t="s">
        <v>469</v>
      </c>
      <c r="H696" s="11">
        <v>9703345015</v>
      </c>
      <c r="I696" s="10" t="s">
        <v>84</v>
      </c>
      <c r="J696" s="45" t="s">
        <v>906</v>
      </c>
      <c r="K696" s="8" t="s">
        <v>47</v>
      </c>
      <c r="L696" s="31" t="s">
        <v>1107</v>
      </c>
      <c r="M696" s="2" t="s">
        <v>308</v>
      </c>
      <c r="N696" s="2" t="s">
        <v>127</v>
      </c>
      <c r="O696" s="11">
        <v>540</v>
      </c>
      <c r="P696" s="2" t="s">
        <v>907</v>
      </c>
      <c r="Q696" s="12" t="str">
        <f t="shared" si="144"/>
        <v>26</v>
      </c>
      <c r="R696" s="12" t="str">
        <f t="shared" si="145"/>
        <v>02</v>
      </c>
      <c r="S696" s="6" t="s">
        <v>464</v>
      </c>
      <c r="T696" s="1" t="s">
        <v>130</v>
      </c>
      <c r="U696" s="6" t="s">
        <v>908</v>
      </c>
      <c r="V696" s="6" t="s">
        <v>132</v>
      </c>
      <c r="W696" s="1" t="s">
        <v>133</v>
      </c>
      <c r="X696" s="5">
        <v>46228</v>
      </c>
      <c r="Y696" s="1">
        <f t="shared" si="141"/>
        <v>14</v>
      </c>
      <c r="Z696" s="5">
        <v>46228</v>
      </c>
      <c r="AA696" s="15"/>
      <c r="AB696" s="15"/>
      <c r="AD696" s="133" t="str">
        <f t="shared" si="134"/>
        <v>Closed In July</v>
      </c>
    </row>
    <row r="697" spans="1:30" hidden="1">
      <c r="A697" s="21">
        <v>46217</v>
      </c>
      <c r="B697" s="1">
        <v>2026</v>
      </c>
      <c r="C697" s="8" t="s">
        <v>65</v>
      </c>
      <c r="D697" s="8" t="s">
        <v>123</v>
      </c>
      <c r="E697" s="1"/>
      <c r="F697" s="1" t="s">
        <v>19</v>
      </c>
      <c r="G697" s="46" t="s">
        <v>909</v>
      </c>
      <c r="H697" s="47">
        <v>8600015661</v>
      </c>
      <c r="I697" s="10" t="s">
        <v>85</v>
      </c>
      <c r="J697" s="11" t="s">
        <v>125</v>
      </c>
      <c r="K697" s="11" t="s">
        <v>44</v>
      </c>
      <c r="L697" s="33" t="s">
        <v>35</v>
      </c>
      <c r="M697" s="2" t="s">
        <v>146</v>
      </c>
      <c r="N697" s="6" t="s">
        <v>138</v>
      </c>
      <c r="O697" s="11">
        <v>610</v>
      </c>
      <c r="P697" s="48" t="s">
        <v>910</v>
      </c>
      <c r="Q697" s="12" t="str">
        <f t="shared" ref="Q697:Q698" si="146">MID(P697,5,2)</f>
        <v>26</v>
      </c>
      <c r="R697" s="12" t="str">
        <f t="shared" ref="R697:R698" si="147">MID(P697,7,2)</f>
        <v>05</v>
      </c>
      <c r="S697" s="6" t="s">
        <v>140</v>
      </c>
      <c r="T697" s="1" t="s">
        <v>141</v>
      </c>
      <c r="U697" s="6" t="s">
        <v>148</v>
      </c>
      <c r="V697" s="1" t="s">
        <v>143</v>
      </c>
      <c r="W697" s="1" t="s">
        <v>133</v>
      </c>
      <c r="X697" s="5">
        <v>46230</v>
      </c>
      <c r="Y697" s="1">
        <f t="shared" ref="Y697:Y698" si="148">X697-A697</f>
        <v>13</v>
      </c>
      <c r="Z697" s="5">
        <v>46230</v>
      </c>
      <c r="AA697" s="15"/>
      <c r="AB697" s="15"/>
      <c r="AD697" s="133" t="str">
        <f t="shared" si="134"/>
        <v>Closed In July</v>
      </c>
    </row>
    <row r="698" spans="1:30" hidden="1">
      <c r="A698" s="9">
        <v>46134</v>
      </c>
      <c r="B698" s="1">
        <v>2026</v>
      </c>
      <c r="C698" s="8" t="s">
        <v>26</v>
      </c>
      <c r="D698" s="11" t="s">
        <v>179</v>
      </c>
      <c r="E698" s="1"/>
      <c r="F698" s="1" t="s">
        <v>19</v>
      </c>
      <c r="G698" s="8" t="s">
        <v>180</v>
      </c>
      <c r="H698" s="8">
        <v>8248438488</v>
      </c>
      <c r="I698" s="10" t="s">
        <v>30</v>
      </c>
      <c r="J698" s="8" t="s">
        <v>181</v>
      </c>
      <c r="K698" s="8" t="s">
        <v>27</v>
      </c>
      <c r="L698" s="8" t="s">
        <v>28</v>
      </c>
      <c r="M698" s="2" t="s">
        <v>146</v>
      </c>
      <c r="N698" s="6" t="s">
        <v>138</v>
      </c>
      <c r="O698" s="11">
        <v>550</v>
      </c>
      <c r="P698" s="24" t="s">
        <v>911</v>
      </c>
      <c r="Q698" s="12" t="str">
        <f t="shared" si="146"/>
        <v>23</v>
      </c>
      <c r="R698" s="12" t="str">
        <f t="shared" si="147"/>
        <v>05</v>
      </c>
      <c r="S698" s="6" t="s">
        <v>129</v>
      </c>
      <c r="T698" s="1" t="s">
        <v>130</v>
      </c>
      <c r="U698" s="6" t="s">
        <v>148</v>
      </c>
      <c r="V698" s="1" t="s">
        <v>143</v>
      </c>
      <c r="W698" s="1" t="s">
        <v>133</v>
      </c>
      <c r="X698" s="5">
        <v>46230</v>
      </c>
      <c r="Y698" s="1">
        <f t="shared" si="148"/>
        <v>96</v>
      </c>
      <c r="Z698" s="5">
        <v>46230</v>
      </c>
      <c r="AA698" s="3"/>
      <c r="AB698" s="3"/>
      <c r="AD698" s="133" t="str">
        <f t="shared" si="134"/>
        <v>Closed In July</v>
      </c>
    </row>
    <row r="699" spans="1:30" hidden="1">
      <c r="A699" s="9">
        <v>46134</v>
      </c>
      <c r="B699" s="1">
        <v>2026</v>
      </c>
      <c r="C699" s="8" t="s">
        <v>26</v>
      </c>
      <c r="D699" s="11" t="s">
        <v>179</v>
      </c>
      <c r="E699" s="1"/>
      <c r="F699" s="1" t="s">
        <v>19</v>
      </c>
      <c r="G699" s="8" t="s">
        <v>180</v>
      </c>
      <c r="H699" s="8">
        <v>8248438488</v>
      </c>
      <c r="I699" s="10" t="s">
        <v>30</v>
      </c>
      <c r="J699" s="8" t="s">
        <v>181</v>
      </c>
      <c r="K699" s="8" t="s">
        <v>27</v>
      </c>
      <c r="L699" s="8" t="s">
        <v>28</v>
      </c>
      <c r="M699" s="25" t="s">
        <v>137</v>
      </c>
      <c r="N699" s="6" t="s">
        <v>138</v>
      </c>
      <c r="O699" s="11">
        <v>550</v>
      </c>
      <c r="P699" s="25" t="s">
        <v>912</v>
      </c>
      <c r="Q699" s="12" t="str">
        <f t="shared" ref="Q699:Q740" si="149">MID(P699,5,2)</f>
        <v>23</v>
      </c>
      <c r="R699" s="12" t="str">
        <f t="shared" ref="R699:R740" si="150">MID(P699,7,2)</f>
        <v>05</v>
      </c>
      <c r="S699" s="6" t="s">
        <v>129</v>
      </c>
      <c r="T699" s="1" t="s">
        <v>130</v>
      </c>
      <c r="U699" s="6" t="s">
        <v>142</v>
      </c>
      <c r="V699" s="1" t="s">
        <v>143</v>
      </c>
      <c r="W699" s="1" t="s">
        <v>133</v>
      </c>
      <c r="X699" s="5">
        <v>46230</v>
      </c>
      <c r="Y699" s="1">
        <f t="shared" ref="Y699:Y740" si="151">X699-A699</f>
        <v>96</v>
      </c>
      <c r="Z699" s="5">
        <v>46230</v>
      </c>
      <c r="AA699" s="3"/>
      <c r="AB699" s="3"/>
      <c r="AD699" s="133" t="str">
        <f t="shared" si="134"/>
        <v>Closed In July</v>
      </c>
    </row>
    <row r="700" spans="1:30" hidden="1">
      <c r="A700" s="9">
        <v>46134</v>
      </c>
      <c r="B700" s="1">
        <v>2026</v>
      </c>
      <c r="C700" s="8" t="s">
        <v>26</v>
      </c>
      <c r="D700" s="11" t="s">
        <v>179</v>
      </c>
      <c r="E700" s="1"/>
      <c r="F700" s="1" t="s">
        <v>19</v>
      </c>
      <c r="G700" s="8" t="s">
        <v>180</v>
      </c>
      <c r="H700" s="8">
        <v>8248438488</v>
      </c>
      <c r="I700" s="10" t="s">
        <v>30</v>
      </c>
      <c r="J700" s="8" t="s">
        <v>181</v>
      </c>
      <c r="K700" s="8" t="s">
        <v>27</v>
      </c>
      <c r="L700" s="8" t="s">
        <v>28</v>
      </c>
      <c r="M700" s="2" t="s">
        <v>146</v>
      </c>
      <c r="N700" s="6" t="s">
        <v>138</v>
      </c>
      <c r="O700" s="11">
        <v>550</v>
      </c>
      <c r="P700" s="25" t="s">
        <v>913</v>
      </c>
      <c r="Q700" s="12" t="str">
        <f t="shared" si="149"/>
        <v>23</v>
      </c>
      <c r="R700" s="12" t="str">
        <f t="shared" si="150"/>
        <v>05</v>
      </c>
      <c r="S700" s="6" t="s">
        <v>129</v>
      </c>
      <c r="T700" s="1" t="s">
        <v>130</v>
      </c>
      <c r="U700" s="6" t="s">
        <v>148</v>
      </c>
      <c r="V700" s="1" t="s">
        <v>143</v>
      </c>
      <c r="W700" s="1" t="s">
        <v>133</v>
      </c>
      <c r="X700" s="5">
        <v>46230</v>
      </c>
      <c r="Y700" s="1">
        <f t="shared" si="151"/>
        <v>96</v>
      </c>
      <c r="Z700" s="5">
        <v>46230</v>
      </c>
      <c r="AA700" s="3"/>
      <c r="AB700" s="3"/>
      <c r="AD700" s="133" t="str">
        <f t="shared" si="134"/>
        <v>Closed In July</v>
      </c>
    </row>
    <row r="701" spans="1:30" hidden="1">
      <c r="A701" s="9">
        <v>46134</v>
      </c>
      <c r="B701" s="1">
        <v>2026</v>
      </c>
      <c r="C701" s="8" t="s">
        <v>26</v>
      </c>
      <c r="D701" s="11" t="s">
        <v>179</v>
      </c>
      <c r="E701" s="1"/>
      <c r="F701" s="1" t="s">
        <v>19</v>
      </c>
      <c r="G701" s="8" t="s">
        <v>180</v>
      </c>
      <c r="H701" s="8">
        <v>8248438488</v>
      </c>
      <c r="I701" s="10" t="s">
        <v>30</v>
      </c>
      <c r="J701" s="8" t="s">
        <v>181</v>
      </c>
      <c r="K701" s="8" t="s">
        <v>27</v>
      </c>
      <c r="L701" s="8" t="s">
        <v>28</v>
      </c>
      <c r="M701" s="2" t="s">
        <v>146</v>
      </c>
      <c r="N701" s="6" t="s">
        <v>138</v>
      </c>
      <c r="O701" s="11">
        <v>550</v>
      </c>
      <c r="P701" s="25" t="s">
        <v>914</v>
      </c>
      <c r="Q701" s="12" t="str">
        <f t="shared" si="149"/>
        <v>23</v>
      </c>
      <c r="R701" s="12" t="str">
        <f t="shared" si="150"/>
        <v>05</v>
      </c>
      <c r="S701" s="6" t="s">
        <v>129</v>
      </c>
      <c r="T701" s="1" t="s">
        <v>130</v>
      </c>
      <c r="U701" s="6" t="s">
        <v>148</v>
      </c>
      <c r="V701" s="1" t="s">
        <v>143</v>
      </c>
      <c r="W701" s="1" t="s">
        <v>133</v>
      </c>
      <c r="X701" s="5">
        <v>46230</v>
      </c>
      <c r="Y701" s="1">
        <f t="shared" si="151"/>
        <v>96</v>
      </c>
      <c r="Z701" s="5">
        <v>46230</v>
      </c>
      <c r="AA701" s="3"/>
      <c r="AB701" s="3"/>
      <c r="AD701" s="133" t="str">
        <f t="shared" si="134"/>
        <v>Closed In July</v>
      </c>
    </row>
    <row r="702" spans="1:30" hidden="1">
      <c r="A702" s="9">
        <v>46134</v>
      </c>
      <c r="B702" s="1">
        <v>2026</v>
      </c>
      <c r="C702" s="8" t="s">
        <v>26</v>
      </c>
      <c r="D702" s="11" t="s">
        <v>179</v>
      </c>
      <c r="E702" s="1"/>
      <c r="F702" s="1" t="s">
        <v>19</v>
      </c>
      <c r="G702" s="8" t="s">
        <v>180</v>
      </c>
      <c r="H702" s="8">
        <v>8248438488</v>
      </c>
      <c r="I702" s="10" t="s">
        <v>30</v>
      </c>
      <c r="J702" s="8" t="s">
        <v>181</v>
      </c>
      <c r="K702" s="8" t="s">
        <v>27</v>
      </c>
      <c r="L702" s="8" t="s">
        <v>28</v>
      </c>
      <c r="M702" s="2" t="s">
        <v>146</v>
      </c>
      <c r="N702" s="6" t="s">
        <v>138</v>
      </c>
      <c r="O702" s="11">
        <v>550</v>
      </c>
      <c r="P702" s="25" t="s">
        <v>915</v>
      </c>
      <c r="Q702" s="12" t="str">
        <f t="shared" si="149"/>
        <v>23</v>
      </c>
      <c r="R702" s="12" t="str">
        <f t="shared" si="150"/>
        <v>05</v>
      </c>
      <c r="S702" s="6" t="s">
        <v>129</v>
      </c>
      <c r="T702" s="1" t="s">
        <v>130</v>
      </c>
      <c r="U702" s="6" t="s">
        <v>148</v>
      </c>
      <c r="V702" s="1" t="s">
        <v>143</v>
      </c>
      <c r="W702" s="1" t="s">
        <v>133</v>
      </c>
      <c r="X702" s="5">
        <v>46230</v>
      </c>
      <c r="Y702" s="1">
        <f t="shared" si="151"/>
        <v>96</v>
      </c>
      <c r="Z702" s="5">
        <v>46230</v>
      </c>
      <c r="AA702" s="3"/>
      <c r="AB702" s="3"/>
      <c r="AD702" s="133" t="str">
        <f t="shared" si="134"/>
        <v>Closed In July</v>
      </c>
    </row>
    <row r="703" spans="1:30" hidden="1">
      <c r="A703" s="9">
        <v>46134</v>
      </c>
      <c r="B703" s="1">
        <v>2026</v>
      </c>
      <c r="C703" s="8" t="s">
        <v>26</v>
      </c>
      <c r="D703" s="11" t="s">
        <v>179</v>
      </c>
      <c r="E703" s="1"/>
      <c r="F703" s="1" t="s">
        <v>19</v>
      </c>
      <c r="G703" s="8" t="s">
        <v>180</v>
      </c>
      <c r="H703" s="8">
        <v>8248438488</v>
      </c>
      <c r="I703" s="10" t="s">
        <v>30</v>
      </c>
      <c r="J703" s="8" t="s">
        <v>181</v>
      </c>
      <c r="K703" s="8" t="s">
        <v>27</v>
      </c>
      <c r="L703" s="8" t="s">
        <v>28</v>
      </c>
      <c r="M703" s="2" t="s">
        <v>146</v>
      </c>
      <c r="N703" s="6" t="s">
        <v>138</v>
      </c>
      <c r="O703" s="11">
        <v>550</v>
      </c>
      <c r="P703" s="25" t="s">
        <v>916</v>
      </c>
      <c r="Q703" s="12" t="str">
        <f t="shared" si="149"/>
        <v>23</v>
      </c>
      <c r="R703" s="12" t="str">
        <f t="shared" si="150"/>
        <v>05</v>
      </c>
      <c r="S703" s="6" t="s">
        <v>129</v>
      </c>
      <c r="T703" s="1" t="s">
        <v>130</v>
      </c>
      <c r="U703" s="6" t="s">
        <v>148</v>
      </c>
      <c r="V703" s="1" t="s">
        <v>143</v>
      </c>
      <c r="W703" s="1" t="s">
        <v>133</v>
      </c>
      <c r="X703" s="5">
        <v>46230</v>
      </c>
      <c r="Y703" s="1">
        <f t="shared" si="151"/>
        <v>96</v>
      </c>
      <c r="Z703" s="5">
        <v>46230</v>
      </c>
      <c r="AA703" s="3"/>
      <c r="AB703" s="3"/>
      <c r="AD703" s="133" t="str">
        <f t="shared" si="134"/>
        <v>Closed In July</v>
      </c>
    </row>
    <row r="704" spans="1:30" hidden="1">
      <c r="A704" s="9">
        <v>46134</v>
      </c>
      <c r="B704" s="1">
        <v>2026</v>
      </c>
      <c r="C704" s="8" t="s">
        <v>26</v>
      </c>
      <c r="D704" s="11" t="s">
        <v>179</v>
      </c>
      <c r="E704" s="1"/>
      <c r="F704" s="1" t="s">
        <v>19</v>
      </c>
      <c r="G704" s="8" t="s">
        <v>180</v>
      </c>
      <c r="H704" s="8">
        <v>8248438488</v>
      </c>
      <c r="I704" s="10" t="s">
        <v>30</v>
      </c>
      <c r="J704" s="8" t="s">
        <v>181</v>
      </c>
      <c r="K704" s="8" t="s">
        <v>27</v>
      </c>
      <c r="L704" s="8" t="s">
        <v>28</v>
      </c>
      <c r="M704" s="2" t="s">
        <v>146</v>
      </c>
      <c r="N704" s="6" t="s">
        <v>138</v>
      </c>
      <c r="O704" s="11">
        <v>550</v>
      </c>
      <c r="P704" s="25" t="s">
        <v>917</v>
      </c>
      <c r="Q704" s="12" t="str">
        <f t="shared" si="149"/>
        <v>23</v>
      </c>
      <c r="R704" s="12" t="str">
        <f t="shared" si="150"/>
        <v>05</v>
      </c>
      <c r="S704" s="6" t="s">
        <v>129</v>
      </c>
      <c r="T704" s="1" t="s">
        <v>130</v>
      </c>
      <c r="U704" s="6" t="s">
        <v>148</v>
      </c>
      <c r="V704" s="1" t="s">
        <v>143</v>
      </c>
      <c r="W704" s="1" t="s">
        <v>133</v>
      </c>
      <c r="X704" s="5">
        <v>46230</v>
      </c>
      <c r="Y704" s="1">
        <f t="shared" si="151"/>
        <v>96</v>
      </c>
      <c r="Z704" s="5">
        <v>46230</v>
      </c>
      <c r="AA704" s="3"/>
      <c r="AB704" s="3"/>
      <c r="AD704" s="133" t="str">
        <f t="shared" si="134"/>
        <v>Closed In July</v>
      </c>
    </row>
    <row r="705" spans="1:30" hidden="1">
      <c r="A705" s="9">
        <v>46134</v>
      </c>
      <c r="B705" s="1">
        <v>2026</v>
      </c>
      <c r="C705" s="8" t="s">
        <v>26</v>
      </c>
      <c r="D705" s="11" t="s">
        <v>179</v>
      </c>
      <c r="E705" s="1"/>
      <c r="F705" s="1" t="s">
        <v>19</v>
      </c>
      <c r="G705" s="8" t="s">
        <v>180</v>
      </c>
      <c r="H705" s="8">
        <v>8248438488</v>
      </c>
      <c r="I705" s="10" t="s">
        <v>30</v>
      </c>
      <c r="J705" s="8" t="s">
        <v>181</v>
      </c>
      <c r="K705" s="8" t="s">
        <v>27</v>
      </c>
      <c r="L705" s="8" t="s">
        <v>28</v>
      </c>
      <c r="M705" s="2" t="s">
        <v>146</v>
      </c>
      <c r="N705" s="6" t="s">
        <v>138</v>
      </c>
      <c r="O705" s="11">
        <v>550</v>
      </c>
      <c r="P705" s="25" t="s">
        <v>918</v>
      </c>
      <c r="Q705" s="12" t="str">
        <f t="shared" si="149"/>
        <v>23</v>
      </c>
      <c r="R705" s="12" t="str">
        <f t="shared" si="150"/>
        <v>05</v>
      </c>
      <c r="S705" s="6" t="s">
        <v>129</v>
      </c>
      <c r="T705" s="1" t="s">
        <v>130</v>
      </c>
      <c r="U705" s="6" t="s">
        <v>148</v>
      </c>
      <c r="V705" s="1" t="s">
        <v>143</v>
      </c>
      <c r="W705" s="1" t="s">
        <v>133</v>
      </c>
      <c r="X705" s="5">
        <v>46230</v>
      </c>
      <c r="Y705" s="1">
        <f t="shared" si="151"/>
        <v>96</v>
      </c>
      <c r="Z705" s="5">
        <v>46230</v>
      </c>
      <c r="AA705" s="3"/>
      <c r="AB705" s="3"/>
      <c r="AD705" s="133" t="str">
        <f t="shared" si="134"/>
        <v>Closed In July</v>
      </c>
    </row>
    <row r="706" spans="1:30" hidden="1">
      <c r="A706" s="9">
        <v>46134</v>
      </c>
      <c r="B706" s="1">
        <v>2026</v>
      </c>
      <c r="C706" s="8" t="s">
        <v>26</v>
      </c>
      <c r="D706" s="11" t="s">
        <v>179</v>
      </c>
      <c r="E706" s="1"/>
      <c r="F706" s="1" t="s">
        <v>19</v>
      </c>
      <c r="G706" s="8" t="s">
        <v>180</v>
      </c>
      <c r="H706" s="8">
        <v>8248438488</v>
      </c>
      <c r="I706" s="10" t="s">
        <v>30</v>
      </c>
      <c r="J706" s="8" t="s">
        <v>181</v>
      </c>
      <c r="K706" s="8" t="s">
        <v>27</v>
      </c>
      <c r="L706" s="8" t="s">
        <v>28</v>
      </c>
      <c r="M706" s="25" t="s">
        <v>137</v>
      </c>
      <c r="N706" s="6" t="s">
        <v>138</v>
      </c>
      <c r="O706" s="11">
        <v>550</v>
      </c>
      <c r="P706" s="25" t="s">
        <v>919</v>
      </c>
      <c r="Q706" s="12" t="str">
        <f t="shared" si="149"/>
        <v>23</v>
      </c>
      <c r="R706" s="12" t="str">
        <f t="shared" si="150"/>
        <v>05</v>
      </c>
      <c r="S706" s="6" t="s">
        <v>129</v>
      </c>
      <c r="T706" s="1" t="s">
        <v>130</v>
      </c>
      <c r="U706" s="6" t="s">
        <v>142</v>
      </c>
      <c r="V706" s="1" t="s">
        <v>143</v>
      </c>
      <c r="W706" s="1" t="s">
        <v>133</v>
      </c>
      <c r="X706" s="5">
        <v>46230</v>
      </c>
      <c r="Y706" s="1">
        <f t="shared" si="151"/>
        <v>96</v>
      </c>
      <c r="Z706" s="5">
        <v>46230</v>
      </c>
      <c r="AA706" s="3"/>
      <c r="AB706" s="3"/>
      <c r="AD706" s="133" t="str">
        <f t="shared" si="134"/>
        <v>Closed In July</v>
      </c>
    </row>
    <row r="707" spans="1:30" hidden="1">
      <c r="A707" s="9">
        <v>46134</v>
      </c>
      <c r="B707" s="1">
        <v>2026</v>
      </c>
      <c r="C707" s="8" t="s">
        <v>26</v>
      </c>
      <c r="D707" s="11" t="s">
        <v>179</v>
      </c>
      <c r="E707" s="1"/>
      <c r="F707" s="1" t="s">
        <v>19</v>
      </c>
      <c r="G707" s="8" t="s">
        <v>180</v>
      </c>
      <c r="H707" s="8">
        <v>8248438488</v>
      </c>
      <c r="I707" s="10" t="s">
        <v>30</v>
      </c>
      <c r="J707" s="8" t="s">
        <v>181</v>
      </c>
      <c r="K707" s="8" t="s">
        <v>27</v>
      </c>
      <c r="L707" s="8" t="s">
        <v>28</v>
      </c>
      <c r="M707" s="25" t="s">
        <v>137</v>
      </c>
      <c r="N707" s="6" t="s">
        <v>138</v>
      </c>
      <c r="O707" s="11">
        <v>550</v>
      </c>
      <c r="P707" s="25" t="s">
        <v>920</v>
      </c>
      <c r="Q707" s="12" t="str">
        <f t="shared" si="149"/>
        <v>23</v>
      </c>
      <c r="R707" s="12" t="str">
        <f t="shared" si="150"/>
        <v>05</v>
      </c>
      <c r="S707" s="6" t="s">
        <v>129</v>
      </c>
      <c r="T707" s="1" t="s">
        <v>130</v>
      </c>
      <c r="U707" s="6" t="s">
        <v>142</v>
      </c>
      <c r="V707" s="1" t="s">
        <v>143</v>
      </c>
      <c r="W707" s="1" t="s">
        <v>133</v>
      </c>
      <c r="X707" s="5">
        <v>46230</v>
      </c>
      <c r="Y707" s="1">
        <f t="shared" si="151"/>
        <v>96</v>
      </c>
      <c r="Z707" s="5">
        <v>46230</v>
      </c>
      <c r="AA707" s="3"/>
      <c r="AB707" s="3"/>
      <c r="AD707" s="133" t="str">
        <f t="shared" ref="AD707:AD770" si="152">IF(AND(F707="Closed",X707&gt;=DATE(2026,7,1),X707&lt;=DATE(2026,7,31)),"Closed In July","Other")</f>
        <v>Closed In July</v>
      </c>
    </row>
    <row r="708" spans="1:30" hidden="1">
      <c r="A708" s="9">
        <v>46134</v>
      </c>
      <c r="B708" s="1">
        <v>2026</v>
      </c>
      <c r="C708" s="8" t="s">
        <v>26</v>
      </c>
      <c r="D708" s="11" t="s">
        <v>179</v>
      </c>
      <c r="E708" s="1"/>
      <c r="F708" s="1" t="s">
        <v>19</v>
      </c>
      <c r="G708" s="8" t="s">
        <v>180</v>
      </c>
      <c r="H708" s="8">
        <v>8248438488</v>
      </c>
      <c r="I708" s="10" t="s">
        <v>30</v>
      </c>
      <c r="J708" s="8" t="s">
        <v>181</v>
      </c>
      <c r="K708" s="8" t="s">
        <v>27</v>
      </c>
      <c r="L708" s="8" t="s">
        <v>28</v>
      </c>
      <c r="M708" s="2" t="s">
        <v>146</v>
      </c>
      <c r="N708" s="6" t="s">
        <v>138</v>
      </c>
      <c r="O708" s="11">
        <v>550</v>
      </c>
      <c r="P708" s="25" t="s">
        <v>921</v>
      </c>
      <c r="Q708" s="12" t="str">
        <f t="shared" si="149"/>
        <v>23</v>
      </c>
      <c r="R708" s="12" t="str">
        <f t="shared" si="150"/>
        <v>05</v>
      </c>
      <c r="S708" s="6" t="s">
        <v>129</v>
      </c>
      <c r="T708" s="1" t="s">
        <v>130</v>
      </c>
      <c r="U708" s="6" t="s">
        <v>148</v>
      </c>
      <c r="V708" s="1" t="s">
        <v>143</v>
      </c>
      <c r="W708" s="1" t="s">
        <v>133</v>
      </c>
      <c r="X708" s="5">
        <v>46230</v>
      </c>
      <c r="Y708" s="1">
        <f t="shared" si="151"/>
        <v>96</v>
      </c>
      <c r="Z708" s="5">
        <v>46230</v>
      </c>
      <c r="AA708" s="3"/>
      <c r="AB708" s="3"/>
      <c r="AD708" s="133" t="str">
        <f t="shared" si="152"/>
        <v>Closed In July</v>
      </c>
    </row>
    <row r="709" spans="1:30" hidden="1">
      <c r="A709" s="9">
        <v>46134</v>
      </c>
      <c r="B709" s="1">
        <v>2026</v>
      </c>
      <c r="C709" s="8" t="s">
        <v>26</v>
      </c>
      <c r="D709" s="11" t="s">
        <v>179</v>
      </c>
      <c r="E709" s="1"/>
      <c r="F709" s="1" t="s">
        <v>19</v>
      </c>
      <c r="G709" s="8" t="s">
        <v>180</v>
      </c>
      <c r="H709" s="8">
        <v>8248438488</v>
      </c>
      <c r="I709" s="10" t="s">
        <v>30</v>
      </c>
      <c r="J709" s="8" t="s">
        <v>181</v>
      </c>
      <c r="K709" s="8" t="s">
        <v>27</v>
      </c>
      <c r="L709" s="8" t="s">
        <v>28</v>
      </c>
      <c r="M709" s="25" t="s">
        <v>137</v>
      </c>
      <c r="N709" s="6" t="s">
        <v>138</v>
      </c>
      <c r="O709" s="11">
        <v>550</v>
      </c>
      <c r="P709" s="25" t="s">
        <v>922</v>
      </c>
      <c r="Q709" s="12" t="str">
        <f t="shared" si="149"/>
        <v>23</v>
      </c>
      <c r="R709" s="12" t="str">
        <f t="shared" si="150"/>
        <v>05</v>
      </c>
      <c r="S709" s="6" t="s">
        <v>129</v>
      </c>
      <c r="T709" s="1" t="s">
        <v>130</v>
      </c>
      <c r="U709" s="6" t="s">
        <v>142</v>
      </c>
      <c r="V709" s="1" t="s">
        <v>143</v>
      </c>
      <c r="W709" s="1" t="s">
        <v>133</v>
      </c>
      <c r="X709" s="5">
        <v>46230</v>
      </c>
      <c r="Y709" s="1">
        <f t="shared" si="151"/>
        <v>96</v>
      </c>
      <c r="Z709" s="5">
        <v>46230</v>
      </c>
      <c r="AA709" s="3"/>
      <c r="AB709" s="3"/>
      <c r="AD709" s="133" t="str">
        <f t="shared" si="152"/>
        <v>Closed In July</v>
      </c>
    </row>
    <row r="710" spans="1:30" hidden="1">
      <c r="A710" s="9">
        <v>46134</v>
      </c>
      <c r="B710" s="1">
        <v>2026</v>
      </c>
      <c r="C710" s="8" t="s">
        <v>26</v>
      </c>
      <c r="D710" s="11" t="s">
        <v>179</v>
      </c>
      <c r="E710" s="1"/>
      <c r="F710" s="1" t="s">
        <v>19</v>
      </c>
      <c r="G710" s="8" t="s">
        <v>180</v>
      </c>
      <c r="H710" s="8">
        <v>8248438488</v>
      </c>
      <c r="I710" s="10" t="s">
        <v>30</v>
      </c>
      <c r="J710" s="8" t="s">
        <v>181</v>
      </c>
      <c r="K710" s="8" t="s">
        <v>27</v>
      </c>
      <c r="L710" s="8" t="s">
        <v>28</v>
      </c>
      <c r="M710" s="25" t="s">
        <v>137</v>
      </c>
      <c r="N710" s="6" t="s">
        <v>138</v>
      </c>
      <c r="O710" s="11">
        <v>550</v>
      </c>
      <c r="P710" s="25" t="s">
        <v>923</v>
      </c>
      <c r="Q710" s="12" t="str">
        <f t="shared" si="149"/>
        <v>23</v>
      </c>
      <c r="R710" s="12" t="str">
        <f t="shared" si="150"/>
        <v>05</v>
      </c>
      <c r="S710" s="6" t="s">
        <v>129</v>
      </c>
      <c r="T710" s="1" t="s">
        <v>130</v>
      </c>
      <c r="U710" s="6" t="s">
        <v>142</v>
      </c>
      <c r="V710" s="1" t="s">
        <v>143</v>
      </c>
      <c r="W710" s="1" t="s">
        <v>133</v>
      </c>
      <c r="X710" s="5">
        <v>46230</v>
      </c>
      <c r="Y710" s="1">
        <f t="shared" si="151"/>
        <v>96</v>
      </c>
      <c r="Z710" s="5">
        <v>46230</v>
      </c>
      <c r="AA710" s="3"/>
      <c r="AB710" s="3"/>
      <c r="AD710" s="133" t="str">
        <f t="shared" si="152"/>
        <v>Closed In July</v>
      </c>
    </row>
    <row r="711" spans="1:30" hidden="1">
      <c r="A711" s="9">
        <v>46134</v>
      </c>
      <c r="B711" s="1">
        <v>2026</v>
      </c>
      <c r="C711" s="8" t="s">
        <v>26</v>
      </c>
      <c r="D711" s="11" t="s">
        <v>179</v>
      </c>
      <c r="E711" s="1"/>
      <c r="F711" s="1" t="s">
        <v>19</v>
      </c>
      <c r="G711" s="8" t="s">
        <v>180</v>
      </c>
      <c r="H711" s="8">
        <v>8248438488</v>
      </c>
      <c r="I711" s="10" t="s">
        <v>30</v>
      </c>
      <c r="J711" s="8" t="s">
        <v>181</v>
      </c>
      <c r="K711" s="8" t="s">
        <v>27</v>
      </c>
      <c r="L711" s="8" t="s">
        <v>28</v>
      </c>
      <c r="M711" s="25" t="s">
        <v>137</v>
      </c>
      <c r="N711" s="6" t="s">
        <v>138</v>
      </c>
      <c r="O711" s="11">
        <v>550</v>
      </c>
      <c r="P711" s="25" t="s">
        <v>924</v>
      </c>
      <c r="Q711" s="12" t="str">
        <f t="shared" si="149"/>
        <v>23</v>
      </c>
      <c r="R711" s="12" t="str">
        <f t="shared" si="150"/>
        <v>05</v>
      </c>
      <c r="S711" s="6" t="s">
        <v>129</v>
      </c>
      <c r="T711" s="1" t="s">
        <v>130</v>
      </c>
      <c r="U711" s="6" t="s">
        <v>142</v>
      </c>
      <c r="V711" s="1" t="s">
        <v>143</v>
      </c>
      <c r="W711" s="1" t="s">
        <v>133</v>
      </c>
      <c r="X711" s="5">
        <v>46230</v>
      </c>
      <c r="Y711" s="1">
        <f t="shared" si="151"/>
        <v>96</v>
      </c>
      <c r="Z711" s="5">
        <v>46230</v>
      </c>
      <c r="AA711" s="3"/>
      <c r="AB711" s="3"/>
      <c r="AD711" s="133" t="str">
        <f t="shared" si="152"/>
        <v>Closed In July</v>
      </c>
    </row>
    <row r="712" spans="1:30" hidden="1">
      <c r="A712" s="9">
        <v>46134</v>
      </c>
      <c r="B712" s="1">
        <v>2026</v>
      </c>
      <c r="C712" s="8" t="s">
        <v>26</v>
      </c>
      <c r="D712" s="11" t="s">
        <v>179</v>
      </c>
      <c r="E712" s="1"/>
      <c r="F712" s="1" t="s">
        <v>19</v>
      </c>
      <c r="G712" s="8" t="s">
        <v>180</v>
      </c>
      <c r="H712" s="8">
        <v>8248438488</v>
      </c>
      <c r="I712" s="10" t="s">
        <v>30</v>
      </c>
      <c r="J712" s="8" t="s">
        <v>181</v>
      </c>
      <c r="K712" s="8" t="s">
        <v>27</v>
      </c>
      <c r="L712" s="8" t="s">
        <v>28</v>
      </c>
      <c r="M712" s="2" t="s">
        <v>146</v>
      </c>
      <c r="N712" s="6" t="s">
        <v>138</v>
      </c>
      <c r="O712" s="11">
        <v>550</v>
      </c>
      <c r="P712" s="25" t="s">
        <v>925</v>
      </c>
      <c r="Q712" s="12" t="str">
        <f t="shared" si="149"/>
        <v>23</v>
      </c>
      <c r="R712" s="12" t="str">
        <f t="shared" si="150"/>
        <v>05</v>
      </c>
      <c r="S712" s="6" t="s">
        <v>129</v>
      </c>
      <c r="T712" s="1" t="s">
        <v>130</v>
      </c>
      <c r="U712" s="6" t="s">
        <v>148</v>
      </c>
      <c r="V712" s="1" t="s">
        <v>143</v>
      </c>
      <c r="W712" s="1" t="s">
        <v>133</v>
      </c>
      <c r="X712" s="5">
        <v>46230</v>
      </c>
      <c r="Y712" s="1">
        <f t="shared" si="151"/>
        <v>96</v>
      </c>
      <c r="Z712" s="5">
        <v>46230</v>
      </c>
      <c r="AA712" s="3"/>
      <c r="AB712" s="3"/>
      <c r="AD712" s="133" t="str">
        <f t="shared" si="152"/>
        <v>Closed In July</v>
      </c>
    </row>
    <row r="713" spans="1:30" hidden="1">
      <c r="A713" s="9">
        <v>46134</v>
      </c>
      <c r="B713" s="1">
        <v>2026</v>
      </c>
      <c r="C713" s="8" t="s">
        <v>26</v>
      </c>
      <c r="D713" s="11" t="s">
        <v>179</v>
      </c>
      <c r="E713" s="1"/>
      <c r="F713" s="1" t="s">
        <v>19</v>
      </c>
      <c r="G713" s="8" t="s">
        <v>180</v>
      </c>
      <c r="H713" s="8">
        <v>8248438488</v>
      </c>
      <c r="I713" s="10" t="s">
        <v>30</v>
      </c>
      <c r="J713" s="8" t="s">
        <v>181</v>
      </c>
      <c r="K713" s="8" t="s">
        <v>27</v>
      </c>
      <c r="L713" s="8" t="s">
        <v>28</v>
      </c>
      <c r="M713" s="2" t="s">
        <v>146</v>
      </c>
      <c r="N713" s="6" t="s">
        <v>138</v>
      </c>
      <c r="O713" s="11">
        <v>550</v>
      </c>
      <c r="P713" s="25" t="s">
        <v>926</v>
      </c>
      <c r="Q713" s="12" t="str">
        <f t="shared" si="149"/>
        <v>23</v>
      </c>
      <c r="R713" s="12" t="str">
        <f t="shared" si="150"/>
        <v>05</v>
      </c>
      <c r="S713" s="6" t="s">
        <v>129</v>
      </c>
      <c r="T713" s="1" t="s">
        <v>130</v>
      </c>
      <c r="U713" s="6" t="s">
        <v>148</v>
      </c>
      <c r="V713" s="1" t="s">
        <v>143</v>
      </c>
      <c r="W713" s="1" t="s">
        <v>133</v>
      </c>
      <c r="X713" s="5">
        <v>46230</v>
      </c>
      <c r="Y713" s="1">
        <f t="shared" si="151"/>
        <v>96</v>
      </c>
      <c r="Z713" s="5">
        <v>46230</v>
      </c>
      <c r="AA713" s="3"/>
      <c r="AB713" s="3"/>
      <c r="AD713" s="133" t="str">
        <f t="shared" si="152"/>
        <v>Closed In July</v>
      </c>
    </row>
    <row r="714" spans="1:30" hidden="1">
      <c r="A714" s="9">
        <v>46134</v>
      </c>
      <c r="B714" s="1">
        <v>2026</v>
      </c>
      <c r="C714" s="8" t="s">
        <v>26</v>
      </c>
      <c r="D714" s="11" t="s">
        <v>179</v>
      </c>
      <c r="E714" s="1"/>
      <c r="F714" s="1" t="s">
        <v>19</v>
      </c>
      <c r="G714" s="8" t="s">
        <v>180</v>
      </c>
      <c r="H714" s="8">
        <v>8248438488</v>
      </c>
      <c r="I714" s="10" t="s">
        <v>30</v>
      </c>
      <c r="J714" s="8" t="s">
        <v>181</v>
      </c>
      <c r="K714" s="8" t="s">
        <v>27</v>
      </c>
      <c r="L714" s="8" t="s">
        <v>28</v>
      </c>
      <c r="M714" s="2" t="s">
        <v>146</v>
      </c>
      <c r="N714" s="6" t="s">
        <v>138</v>
      </c>
      <c r="O714" s="11">
        <v>550</v>
      </c>
      <c r="P714" s="25" t="s">
        <v>927</v>
      </c>
      <c r="Q714" s="12" t="str">
        <f t="shared" si="149"/>
        <v>23</v>
      </c>
      <c r="R714" s="12" t="str">
        <f t="shared" si="150"/>
        <v>05</v>
      </c>
      <c r="S714" s="6" t="s">
        <v>129</v>
      </c>
      <c r="T714" s="1" t="s">
        <v>130</v>
      </c>
      <c r="U714" s="6" t="s">
        <v>148</v>
      </c>
      <c r="V714" s="1" t="s">
        <v>143</v>
      </c>
      <c r="W714" s="1" t="s">
        <v>133</v>
      </c>
      <c r="X714" s="5">
        <v>46230</v>
      </c>
      <c r="Y714" s="1">
        <f t="shared" si="151"/>
        <v>96</v>
      </c>
      <c r="Z714" s="5">
        <v>46230</v>
      </c>
      <c r="AA714" s="3"/>
      <c r="AB714" s="3"/>
      <c r="AD714" s="133" t="str">
        <f t="shared" si="152"/>
        <v>Closed In July</v>
      </c>
    </row>
    <row r="715" spans="1:30" hidden="1">
      <c r="A715" s="9">
        <v>46134</v>
      </c>
      <c r="B715" s="1">
        <v>2026</v>
      </c>
      <c r="C715" s="8" t="s">
        <v>26</v>
      </c>
      <c r="D715" s="11" t="s">
        <v>179</v>
      </c>
      <c r="E715" s="1"/>
      <c r="F715" s="1" t="s">
        <v>19</v>
      </c>
      <c r="G715" s="8" t="s">
        <v>180</v>
      </c>
      <c r="H715" s="8">
        <v>8248438488</v>
      </c>
      <c r="I715" s="10" t="s">
        <v>30</v>
      </c>
      <c r="J715" s="8" t="s">
        <v>181</v>
      </c>
      <c r="K715" s="8" t="s">
        <v>27</v>
      </c>
      <c r="L715" s="8" t="s">
        <v>28</v>
      </c>
      <c r="M715" s="2" t="s">
        <v>146</v>
      </c>
      <c r="N715" s="6" t="s">
        <v>138</v>
      </c>
      <c r="O715" s="11">
        <v>550</v>
      </c>
      <c r="P715" s="25" t="s">
        <v>928</v>
      </c>
      <c r="Q715" s="12" t="str">
        <f t="shared" si="149"/>
        <v>23</v>
      </c>
      <c r="R715" s="12" t="str">
        <f t="shared" si="150"/>
        <v>05</v>
      </c>
      <c r="S715" s="6" t="s">
        <v>129</v>
      </c>
      <c r="T715" s="1" t="s">
        <v>130</v>
      </c>
      <c r="U715" s="6" t="s">
        <v>148</v>
      </c>
      <c r="V715" s="1" t="s">
        <v>143</v>
      </c>
      <c r="W715" s="1" t="s">
        <v>133</v>
      </c>
      <c r="X715" s="5">
        <v>46230</v>
      </c>
      <c r="Y715" s="1">
        <f t="shared" si="151"/>
        <v>96</v>
      </c>
      <c r="Z715" s="5">
        <v>46230</v>
      </c>
      <c r="AA715" s="3"/>
      <c r="AB715" s="3"/>
      <c r="AD715" s="133" t="str">
        <f t="shared" si="152"/>
        <v>Closed In July</v>
      </c>
    </row>
    <row r="716" spans="1:30" hidden="1">
      <c r="A716" s="9">
        <v>46134</v>
      </c>
      <c r="B716" s="1">
        <v>2026</v>
      </c>
      <c r="C716" s="8" t="s">
        <v>26</v>
      </c>
      <c r="D716" s="11" t="s">
        <v>179</v>
      </c>
      <c r="E716" s="1"/>
      <c r="F716" s="1" t="s">
        <v>19</v>
      </c>
      <c r="G716" s="8" t="s">
        <v>180</v>
      </c>
      <c r="H716" s="8">
        <v>8248438488</v>
      </c>
      <c r="I716" s="10" t="s">
        <v>30</v>
      </c>
      <c r="J716" s="8" t="s">
        <v>181</v>
      </c>
      <c r="K716" s="8" t="s">
        <v>27</v>
      </c>
      <c r="L716" s="8" t="s">
        <v>28</v>
      </c>
      <c r="M716" s="25" t="s">
        <v>137</v>
      </c>
      <c r="N716" s="6" t="s">
        <v>138</v>
      </c>
      <c r="O716" s="11">
        <v>550</v>
      </c>
      <c r="P716" s="25" t="s">
        <v>929</v>
      </c>
      <c r="Q716" s="12" t="str">
        <f t="shared" si="149"/>
        <v>23</v>
      </c>
      <c r="R716" s="12" t="str">
        <f t="shared" si="150"/>
        <v>05</v>
      </c>
      <c r="S716" s="6" t="s">
        <v>129</v>
      </c>
      <c r="T716" s="1" t="s">
        <v>130</v>
      </c>
      <c r="U716" s="6" t="s">
        <v>142</v>
      </c>
      <c r="V716" s="1" t="s">
        <v>143</v>
      </c>
      <c r="W716" s="1" t="s">
        <v>133</v>
      </c>
      <c r="X716" s="5">
        <v>46230</v>
      </c>
      <c r="Y716" s="1">
        <f t="shared" si="151"/>
        <v>96</v>
      </c>
      <c r="Z716" s="5">
        <v>46230</v>
      </c>
      <c r="AA716" s="3"/>
      <c r="AB716" s="3"/>
      <c r="AD716" s="133" t="str">
        <f t="shared" si="152"/>
        <v>Closed In July</v>
      </c>
    </row>
    <row r="717" spans="1:30" hidden="1">
      <c r="A717" s="9">
        <v>46134</v>
      </c>
      <c r="B717" s="1">
        <v>2026</v>
      </c>
      <c r="C717" s="8" t="s">
        <v>26</v>
      </c>
      <c r="D717" s="11" t="s">
        <v>179</v>
      </c>
      <c r="E717" s="1"/>
      <c r="F717" s="1" t="s">
        <v>19</v>
      </c>
      <c r="G717" s="8" t="s">
        <v>180</v>
      </c>
      <c r="H717" s="8">
        <v>8248438488</v>
      </c>
      <c r="I717" s="10" t="s">
        <v>30</v>
      </c>
      <c r="J717" s="8" t="s">
        <v>181</v>
      </c>
      <c r="K717" s="8" t="s">
        <v>27</v>
      </c>
      <c r="L717" s="8" t="s">
        <v>28</v>
      </c>
      <c r="M717" s="25" t="s">
        <v>137</v>
      </c>
      <c r="N717" s="6" t="s">
        <v>138</v>
      </c>
      <c r="O717" s="11">
        <v>550</v>
      </c>
      <c r="P717" s="25" t="s">
        <v>930</v>
      </c>
      <c r="Q717" s="12" t="str">
        <f t="shared" si="149"/>
        <v>23</v>
      </c>
      <c r="R717" s="12" t="str">
        <f t="shared" si="150"/>
        <v>05</v>
      </c>
      <c r="S717" s="6" t="s">
        <v>129</v>
      </c>
      <c r="T717" s="1" t="s">
        <v>130</v>
      </c>
      <c r="U717" s="6" t="s">
        <v>142</v>
      </c>
      <c r="V717" s="1" t="s">
        <v>143</v>
      </c>
      <c r="W717" s="1" t="s">
        <v>133</v>
      </c>
      <c r="X717" s="5">
        <v>46230</v>
      </c>
      <c r="Y717" s="1">
        <f t="shared" si="151"/>
        <v>96</v>
      </c>
      <c r="Z717" s="5">
        <v>46230</v>
      </c>
      <c r="AA717" s="3"/>
      <c r="AB717" s="3"/>
      <c r="AD717" s="133" t="str">
        <f t="shared" si="152"/>
        <v>Closed In July</v>
      </c>
    </row>
    <row r="718" spans="1:30" hidden="1">
      <c r="A718" s="9">
        <v>46134</v>
      </c>
      <c r="B718" s="1">
        <v>2026</v>
      </c>
      <c r="C718" s="8" t="s">
        <v>26</v>
      </c>
      <c r="D718" s="11" t="s">
        <v>179</v>
      </c>
      <c r="E718" s="1"/>
      <c r="F718" s="1" t="s">
        <v>19</v>
      </c>
      <c r="G718" s="8" t="s">
        <v>180</v>
      </c>
      <c r="H718" s="8">
        <v>8248438488</v>
      </c>
      <c r="I718" s="10" t="s">
        <v>30</v>
      </c>
      <c r="J718" s="8" t="s">
        <v>181</v>
      </c>
      <c r="K718" s="8" t="s">
        <v>27</v>
      </c>
      <c r="L718" s="8" t="s">
        <v>28</v>
      </c>
      <c r="M718" s="2" t="s">
        <v>146</v>
      </c>
      <c r="N718" s="6" t="s">
        <v>138</v>
      </c>
      <c r="O718" s="11">
        <v>550</v>
      </c>
      <c r="P718" s="25" t="s">
        <v>931</v>
      </c>
      <c r="Q718" s="12" t="str">
        <f t="shared" si="149"/>
        <v>23</v>
      </c>
      <c r="R718" s="12" t="str">
        <f t="shared" si="150"/>
        <v>05</v>
      </c>
      <c r="S718" s="6" t="s">
        <v>129</v>
      </c>
      <c r="T718" s="1" t="s">
        <v>130</v>
      </c>
      <c r="U718" s="6" t="s">
        <v>148</v>
      </c>
      <c r="V718" s="1" t="s">
        <v>143</v>
      </c>
      <c r="W718" s="1" t="s">
        <v>133</v>
      </c>
      <c r="X718" s="5">
        <v>46230</v>
      </c>
      <c r="Y718" s="1">
        <f t="shared" si="151"/>
        <v>96</v>
      </c>
      <c r="Z718" s="5">
        <v>46230</v>
      </c>
      <c r="AA718" s="3"/>
      <c r="AB718" s="3"/>
      <c r="AD718" s="133" t="str">
        <f t="shared" si="152"/>
        <v>Closed In July</v>
      </c>
    </row>
    <row r="719" spans="1:30" hidden="1">
      <c r="A719" s="9">
        <v>46134</v>
      </c>
      <c r="B719" s="1">
        <v>2026</v>
      </c>
      <c r="C719" s="8" t="s">
        <v>26</v>
      </c>
      <c r="D719" s="11" t="s">
        <v>179</v>
      </c>
      <c r="E719" s="1"/>
      <c r="F719" s="1" t="s">
        <v>19</v>
      </c>
      <c r="G719" s="8" t="s">
        <v>180</v>
      </c>
      <c r="H719" s="8">
        <v>8248438488</v>
      </c>
      <c r="I719" s="10" t="s">
        <v>30</v>
      </c>
      <c r="J719" s="8" t="s">
        <v>181</v>
      </c>
      <c r="K719" s="8" t="s">
        <v>27</v>
      </c>
      <c r="L719" s="8" t="s">
        <v>28</v>
      </c>
      <c r="M719" s="25" t="s">
        <v>137</v>
      </c>
      <c r="N719" s="6" t="s">
        <v>138</v>
      </c>
      <c r="O719" s="11">
        <v>550</v>
      </c>
      <c r="P719" s="25" t="s">
        <v>932</v>
      </c>
      <c r="Q719" s="12" t="str">
        <f t="shared" si="149"/>
        <v>23</v>
      </c>
      <c r="R719" s="12" t="str">
        <f t="shared" si="150"/>
        <v>05</v>
      </c>
      <c r="S719" s="6" t="s">
        <v>129</v>
      </c>
      <c r="T719" s="1" t="s">
        <v>130</v>
      </c>
      <c r="U719" s="6" t="s">
        <v>142</v>
      </c>
      <c r="V719" s="1" t="s">
        <v>143</v>
      </c>
      <c r="W719" s="1" t="s">
        <v>133</v>
      </c>
      <c r="X719" s="5">
        <v>46230</v>
      </c>
      <c r="Y719" s="1">
        <f t="shared" si="151"/>
        <v>96</v>
      </c>
      <c r="Z719" s="5">
        <v>46230</v>
      </c>
      <c r="AA719" s="3"/>
      <c r="AB719" s="3"/>
      <c r="AD719" s="133" t="str">
        <f t="shared" si="152"/>
        <v>Closed In July</v>
      </c>
    </row>
    <row r="720" spans="1:30" hidden="1">
      <c r="A720" s="9">
        <v>46134</v>
      </c>
      <c r="B720" s="1">
        <v>2026</v>
      </c>
      <c r="C720" s="8" t="s">
        <v>26</v>
      </c>
      <c r="D720" s="11" t="s">
        <v>179</v>
      </c>
      <c r="E720" s="1"/>
      <c r="F720" s="1" t="s">
        <v>19</v>
      </c>
      <c r="G720" s="8" t="s">
        <v>180</v>
      </c>
      <c r="H720" s="8">
        <v>8248438488</v>
      </c>
      <c r="I720" s="10" t="s">
        <v>30</v>
      </c>
      <c r="J720" s="8" t="s">
        <v>181</v>
      </c>
      <c r="K720" s="8" t="s">
        <v>27</v>
      </c>
      <c r="L720" s="8" t="s">
        <v>28</v>
      </c>
      <c r="M720" s="25" t="s">
        <v>137</v>
      </c>
      <c r="N720" s="6" t="s">
        <v>138</v>
      </c>
      <c r="O720" s="11">
        <v>550</v>
      </c>
      <c r="P720" s="25" t="s">
        <v>933</v>
      </c>
      <c r="Q720" s="12" t="str">
        <f t="shared" si="149"/>
        <v>23</v>
      </c>
      <c r="R720" s="12" t="str">
        <f t="shared" si="150"/>
        <v>05</v>
      </c>
      <c r="S720" s="6" t="s">
        <v>129</v>
      </c>
      <c r="T720" s="1" t="s">
        <v>130</v>
      </c>
      <c r="U720" s="6" t="s">
        <v>142</v>
      </c>
      <c r="V720" s="1" t="s">
        <v>143</v>
      </c>
      <c r="W720" s="1" t="s">
        <v>133</v>
      </c>
      <c r="X720" s="5">
        <v>46230</v>
      </c>
      <c r="Y720" s="1">
        <f t="shared" si="151"/>
        <v>96</v>
      </c>
      <c r="Z720" s="5">
        <v>46230</v>
      </c>
      <c r="AA720" s="3"/>
      <c r="AB720" s="3"/>
      <c r="AD720" s="133" t="str">
        <f t="shared" si="152"/>
        <v>Closed In July</v>
      </c>
    </row>
    <row r="721" spans="1:30" hidden="1">
      <c r="A721" s="9">
        <v>46134</v>
      </c>
      <c r="B721" s="1">
        <v>2026</v>
      </c>
      <c r="C721" s="8" t="s">
        <v>26</v>
      </c>
      <c r="D721" s="11" t="s">
        <v>179</v>
      </c>
      <c r="E721" s="1"/>
      <c r="F721" s="1" t="s">
        <v>19</v>
      </c>
      <c r="G721" s="8" t="s">
        <v>180</v>
      </c>
      <c r="H721" s="8">
        <v>8248438488</v>
      </c>
      <c r="I721" s="10" t="s">
        <v>30</v>
      </c>
      <c r="J721" s="8" t="s">
        <v>181</v>
      </c>
      <c r="K721" s="8" t="s">
        <v>27</v>
      </c>
      <c r="L721" s="8" t="s">
        <v>28</v>
      </c>
      <c r="M721" s="2" t="s">
        <v>146</v>
      </c>
      <c r="N721" s="6" t="s">
        <v>138</v>
      </c>
      <c r="O721" s="11">
        <v>550</v>
      </c>
      <c r="P721" s="25" t="s">
        <v>934</v>
      </c>
      <c r="Q721" s="12" t="str">
        <f t="shared" si="149"/>
        <v>23</v>
      </c>
      <c r="R721" s="12" t="str">
        <f t="shared" si="150"/>
        <v>05</v>
      </c>
      <c r="S721" s="6" t="s">
        <v>129</v>
      </c>
      <c r="T721" s="1" t="s">
        <v>130</v>
      </c>
      <c r="U721" s="6" t="s">
        <v>148</v>
      </c>
      <c r="V721" s="1" t="s">
        <v>143</v>
      </c>
      <c r="W721" s="1" t="s">
        <v>133</v>
      </c>
      <c r="X721" s="5">
        <v>46230</v>
      </c>
      <c r="Y721" s="1">
        <f t="shared" si="151"/>
        <v>96</v>
      </c>
      <c r="Z721" s="5">
        <v>46230</v>
      </c>
      <c r="AA721" s="3"/>
      <c r="AB721" s="3"/>
      <c r="AD721" s="133" t="str">
        <f t="shared" si="152"/>
        <v>Closed In July</v>
      </c>
    </row>
    <row r="722" spans="1:30" hidden="1">
      <c r="A722" s="9">
        <v>46134</v>
      </c>
      <c r="B722" s="1">
        <v>2026</v>
      </c>
      <c r="C722" s="8" t="s">
        <v>26</v>
      </c>
      <c r="D722" s="11" t="s">
        <v>179</v>
      </c>
      <c r="E722" s="1"/>
      <c r="F722" s="1" t="s">
        <v>19</v>
      </c>
      <c r="G722" s="8" t="s">
        <v>180</v>
      </c>
      <c r="H722" s="8">
        <v>8248438488</v>
      </c>
      <c r="I722" s="10" t="s">
        <v>30</v>
      </c>
      <c r="J722" s="8" t="s">
        <v>181</v>
      </c>
      <c r="K722" s="8" t="s">
        <v>27</v>
      </c>
      <c r="L722" s="8" t="s">
        <v>28</v>
      </c>
      <c r="M722" s="2" t="s">
        <v>146</v>
      </c>
      <c r="N722" s="6" t="s">
        <v>138</v>
      </c>
      <c r="O722" s="11">
        <v>550</v>
      </c>
      <c r="P722" s="25" t="s">
        <v>935</v>
      </c>
      <c r="Q722" s="12" t="str">
        <f t="shared" si="149"/>
        <v>23</v>
      </c>
      <c r="R722" s="12" t="str">
        <f t="shared" si="150"/>
        <v>05</v>
      </c>
      <c r="S722" s="6" t="s">
        <v>129</v>
      </c>
      <c r="T722" s="1" t="s">
        <v>130</v>
      </c>
      <c r="U722" s="6" t="s">
        <v>148</v>
      </c>
      <c r="V722" s="1" t="s">
        <v>143</v>
      </c>
      <c r="W722" s="1" t="s">
        <v>133</v>
      </c>
      <c r="X722" s="5">
        <v>46230</v>
      </c>
      <c r="Y722" s="1">
        <f t="shared" si="151"/>
        <v>96</v>
      </c>
      <c r="Z722" s="5">
        <v>46230</v>
      </c>
      <c r="AA722" s="3"/>
      <c r="AB722" s="3"/>
      <c r="AD722" s="133" t="str">
        <f t="shared" si="152"/>
        <v>Closed In July</v>
      </c>
    </row>
    <row r="723" spans="1:30" hidden="1">
      <c r="A723" s="9">
        <v>46134</v>
      </c>
      <c r="B723" s="1">
        <v>2026</v>
      </c>
      <c r="C723" s="8" t="s">
        <v>26</v>
      </c>
      <c r="D723" s="11" t="s">
        <v>179</v>
      </c>
      <c r="E723" s="1"/>
      <c r="F723" s="1" t="s">
        <v>19</v>
      </c>
      <c r="G723" s="8" t="s">
        <v>180</v>
      </c>
      <c r="H723" s="8">
        <v>8248438488</v>
      </c>
      <c r="I723" s="10" t="s">
        <v>30</v>
      </c>
      <c r="J723" s="8" t="s">
        <v>181</v>
      </c>
      <c r="K723" s="8" t="s">
        <v>27</v>
      </c>
      <c r="L723" s="8" t="s">
        <v>28</v>
      </c>
      <c r="M723" s="2" t="s">
        <v>146</v>
      </c>
      <c r="N723" s="6" t="s">
        <v>138</v>
      </c>
      <c r="O723" s="11">
        <v>550</v>
      </c>
      <c r="P723" s="25" t="s">
        <v>936</v>
      </c>
      <c r="Q723" s="12" t="str">
        <f t="shared" si="149"/>
        <v>23</v>
      </c>
      <c r="R723" s="12" t="str">
        <f t="shared" si="150"/>
        <v>05</v>
      </c>
      <c r="S723" s="6" t="s">
        <v>129</v>
      </c>
      <c r="T723" s="1" t="s">
        <v>130</v>
      </c>
      <c r="U723" s="6" t="s">
        <v>148</v>
      </c>
      <c r="V723" s="1" t="s">
        <v>143</v>
      </c>
      <c r="W723" s="1" t="s">
        <v>133</v>
      </c>
      <c r="X723" s="5">
        <v>46230</v>
      </c>
      <c r="Y723" s="1">
        <f t="shared" si="151"/>
        <v>96</v>
      </c>
      <c r="Z723" s="5">
        <v>46230</v>
      </c>
      <c r="AA723" s="3"/>
      <c r="AB723" s="3"/>
      <c r="AD723" s="133" t="str">
        <f t="shared" si="152"/>
        <v>Closed In July</v>
      </c>
    </row>
    <row r="724" spans="1:30" hidden="1">
      <c r="A724" s="9">
        <v>46134</v>
      </c>
      <c r="B724" s="1">
        <v>2026</v>
      </c>
      <c r="C724" s="8" t="s">
        <v>26</v>
      </c>
      <c r="D724" s="11" t="s">
        <v>179</v>
      </c>
      <c r="E724" s="1"/>
      <c r="F724" s="1" t="s">
        <v>19</v>
      </c>
      <c r="G724" s="8" t="s">
        <v>180</v>
      </c>
      <c r="H724" s="8">
        <v>8248438488</v>
      </c>
      <c r="I724" s="10" t="s">
        <v>30</v>
      </c>
      <c r="J724" s="8" t="s">
        <v>181</v>
      </c>
      <c r="K724" s="8" t="s">
        <v>27</v>
      </c>
      <c r="L724" s="8" t="s">
        <v>28</v>
      </c>
      <c r="M724" s="2" t="s">
        <v>146</v>
      </c>
      <c r="N724" s="6" t="s">
        <v>138</v>
      </c>
      <c r="O724" s="11">
        <v>550</v>
      </c>
      <c r="P724" s="25" t="s">
        <v>937</v>
      </c>
      <c r="Q724" s="12" t="str">
        <f t="shared" si="149"/>
        <v>23</v>
      </c>
      <c r="R724" s="12" t="str">
        <f t="shared" si="150"/>
        <v>05</v>
      </c>
      <c r="S724" s="6" t="s">
        <v>129</v>
      </c>
      <c r="T724" s="1" t="s">
        <v>130</v>
      </c>
      <c r="U724" s="6" t="s">
        <v>148</v>
      </c>
      <c r="V724" s="1" t="s">
        <v>143</v>
      </c>
      <c r="W724" s="1" t="s">
        <v>133</v>
      </c>
      <c r="X724" s="5">
        <v>46230</v>
      </c>
      <c r="Y724" s="1">
        <f t="shared" si="151"/>
        <v>96</v>
      </c>
      <c r="Z724" s="5">
        <v>46230</v>
      </c>
      <c r="AA724" s="3"/>
      <c r="AB724" s="3"/>
      <c r="AD724" s="133" t="str">
        <f t="shared" si="152"/>
        <v>Closed In July</v>
      </c>
    </row>
    <row r="725" spans="1:30" hidden="1">
      <c r="A725" s="9">
        <v>46134</v>
      </c>
      <c r="B725" s="1">
        <v>2026</v>
      </c>
      <c r="C725" s="8" t="s">
        <v>26</v>
      </c>
      <c r="D725" s="11" t="s">
        <v>179</v>
      </c>
      <c r="E725" s="1"/>
      <c r="F725" s="1" t="s">
        <v>19</v>
      </c>
      <c r="G725" s="8" t="s">
        <v>180</v>
      </c>
      <c r="H725" s="8">
        <v>8248438488</v>
      </c>
      <c r="I725" s="10" t="s">
        <v>30</v>
      </c>
      <c r="J725" s="8" t="s">
        <v>181</v>
      </c>
      <c r="K725" s="8" t="s">
        <v>27</v>
      </c>
      <c r="L725" s="8" t="s">
        <v>28</v>
      </c>
      <c r="M725" s="2" t="s">
        <v>146</v>
      </c>
      <c r="N725" s="6" t="s">
        <v>138</v>
      </c>
      <c r="O725" s="11">
        <v>550</v>
      </c>
      <c r="P725" s="25" t="s">
        <v>938</v>
      </c>
      <c r="Q725" s="12" t="str">
        <f t="shared" si="149"/>
        <v>23</v>
      </c>
      <c r="R725" s="12" t="str">
        <f t="shared" si="150"/>
        <v>05</v>
      </c>
      <c r="S725" s="6" t="s">
        <v>129</v>
      </c>
      <c r="T725" s="1" t="s">
        <v>130</v>
      </c>
      <c r="U725" s="6" t="s">
        <v>148</v>
      </c>
      <c r="V725" s="1" t="s">
        <v>143</v>
      </c>
      <c r="W725" s="1" t="s">
        <v>133</v>
      </c>
      <c r="X725" s="5">
        <v>46230</v>
      </c>
      <c r="Y725" s="1">
        <f t="shared" si="151"/>
        <v>96</v>
      </c>
      <c r="Z725" s="5">
        <v>46230</v>
      </c>
      <c r="AA725" s="3"/>
      <c r="AB725" s="3"/>
      <c r="AD725" s="133" t="str">
        <f t="shared" si="152"/>
        <v>Closed In July</v>
      </c>
    </row>
    <row r="726" spans="1:30" hidden="1">
      <c r="A726" s="9">
        <v>46134</v>
      </c>
      <c r="B726" s="1">
        <v>2026</v>
      </c>
      <c r="C726" s="8" t="s">
        <v>26</v>
      </c>
      <c r="D726" s="11" t="s">
        <v>179</v>
      </c>
      <c r="E726" s="1"/>
      <c r="F726" s="1" t="s">
        <v>19</v>
      </c>
      <c r="G726" s="8" t="s">
        <v>180</v>
      </c>
      <c r="H726" s="8">
        <v>8248438488</v>
      </c>
      <c r="I726" s="10" t="s">
        <v>30</v>
      </c>
      <c r="J726" s="8" t="s">
        <v>181</v>
      </c>
      <c r="K726" s="8" t="s">
        <v>27</v>
      </c>
      <c r="L726" s="8" t="s">
        <v>28</v>
      </c>
      <c r="M726" s="2" t="s">
        <v>146</v>
      </c>
      <c r="N726" s="6" t="s">
        <v>138</v>
      </c>
      <c r="O726" s="11">
        <v>550</v>
      </c>
      <c r="P726" s="25" t="s">
        <v>939</v>
      </c>
      <c r="Q726" s="12" t="str">
        <f t="shared" si="149"/>
        <v>23</v>
      </c>
      <c r="R726" s="12" t="str">
        <f t="shared" si="150"/>
        <v>05</v>
      </c>
      <c r="S726" s="6" t="s">
        <v>129</v>
      </c>
      <c r="T726" s="1" t="s">
        <v>130</v>
      </c>
      <c r="U726" s="6" t="s">
        <v>148</v>
      </c>
      <c r="V726" s="1" t="s">
        <v>143</v>
      </c>
      <c r="W726" s="1" t="s">
        <v>133</v>
      </c>
      <c r="X726" s="5">
        <v>46230</v>
      </c>
      <c r="Y726" s="1">
        <f t="shared" si="151"/>
        <v>96</v>
      </c>
      <c r="Z726" s="5">
        <v>46230</v>
      </c>
      <c r="AA726" s="3"/>
      <c r="AB726" s="3"/>
      <c r="AD726" s="133" t="str">
        <f t="shared" si="152"/>
        <v>Closed In July</v>
      </c>
    </row>
    <row r="727" spans="1:30" hidden="1">
      <c r="A727" s="9">
        <v>46134</v>
      </c>
      <c r="B727" s="1">
        <v>2026</v>
      </c>
      <c r="C727" s="8" t="s">
        <v>26</v>
      </c>
      <c r="D727" s="11" t="s">
        <v>179</v>
      </c>
      <c r="E727" s="1"/>
      <c r="F727" s="1" t="s">
        <v>19</v>
      </c>
      <c r="G727" s="8" t="s">
        <v>180</v>
      </c>
      <c r="H727" s="8">
        <v>8248438488</v>
      </c>
      <c r="I727" s="10" t="s">
        <v>30</v>
      </c>
      <c r="J727" s="8" t="s">
        <v>181</v>
      </c>
      <c r="K727" s="8" t="s">
        <v>27</v>
      </c>
      <c r="L727" s="8" t="s">
        <v>28</v>
      </c>
      <c r="M727" s="2" t="s">
        <v>146</v>
      </c>
      <c r="N727" s="6" t="s">
        <v>138</v>
      </c>
      <c r="O727" s="11">
        <v>550</v>
      </c>
      <c r="P727" s="25" t="s">
        <v>940</v>
      </c>
      <c r="Q727" s="12" t="str">
        <f t="shared" si="149"/>
        <v>23</v>
      </c>
      <c r="R727" s="12" t="str">
        <f t="shared" si="150"/>
        <v>05</v>
      </c>
      <c r="S727" s="6" t="s">
        <v>129</v>
      </c>
      <c r="T727" s="1" t="s">
        <v>130</v>
      </c>
      <c r="U727" s="6" t="s">
        <v>148</v>
      </c>
      <c r="V727" s="1" t="s">
        <v>143</v>
      </c>
      <c r="W727" s="1" t="s">
        <v>133</v>
      </c>
      <c r="X727" s="5">
        <v>46230</v>
      </c>
      <c r="Y727" s="1">
        <f t="shared" si="151"/>
        <v>96</v>
      </c>
      <c r="Z727" s="5">
        <v>46230</v>
      </c>
      <c r="AA727" s="3"/>
      <c r="AB727" s="3"/>
      <c r="AD727" s="133" t="str">
        <f t="shared" si="152"/>
        <v>Closed In July</v>
      </c>
    </row>
    <row r="728" spans="1:30" hidden="1">
      <c r="A728" s="9">
        <v>46134</v>
      </c>
      <c r="B728" s="1">
        <v>2026</v>
      </c>
      <c r="C728" s="8" t="s">
        <v>26</v>
      </c>
      <c r="D728" s="11" t="s">
        <v>179</v>
      </c>
      <c r="E728" s="1"/>
      <c r="F728" s="1" t="s">
        <v>19</v>
      </c>
      <c r="G728" s="8" t="s">
        <v>180</v>
      </c>
      <c r="H728" s="8">
        <v>8248438488</v>
      </c>
      <c r="I728" s="10" t="s">
        <v>30</v>
      </c>
      <c r="J728" s="8" t="s">
        <v>181</v>
      </c>
      <c r="K728" s="8" t="s">
        <v>27</v>
      </c>
      <c r="L728" s="8" t="s">
        <v>28</v>
      </c>
      <c r="M728" s="2" t="s">
        <v>146</v>
      </c>
      <c r="N728" s="6" t="s">
        <v>138</v>
      </c>
      <c r="O728" s="11">
        <v>550</v>
      </c>
      <c r="P728" s="25" t="s">
        <v>941</v>
      </c>
      <c r="Q728" s="12" t="str">
        <f t="shared" si="149"/>
        <v>23</v>
      </c>
      <c r="R728" s="12" t="str">
        <f t="shared" si="150"/>
        <v>05</v>
      </c>
      <c r="S728" s="6" t="s">
        <v>129</v>
      </c>
      <c r="T728" s="1" t="s">
        <v>130</v>
      </c>
      <c r="U728" s="6" t="s">
        <v>148</v>
      </c>
      <c r="V728" s="1" t="s">
        <v>143</v>
      </c>
      <c r="W728" s="1" t="s">
        <v>133</v>
      </c>
      <c r="X728" s="5">
        <v>46230</v>
      </c>
      <c r="Y728" s="1">
        <f t="shared" si="151"/>
        <v>96</v>
      </c>
      <c r="Z728" s="5">
        <v>46230</v>
      </c>
      <c r="AA728" s="3"/>
      <c r="AB728" s="3"/>
      <c r="AD728" s="133" t="str">
        <f t="shared" si="152"/>
        <v>Closed In July</v>
      </c>
    </row>
    <row r="729" spans="1:30" hidden="1">
      <c r="A729" s="9">
        <v>46134</v>
      </c>
      <c r="B729" s="1">
        <v>2026</v>
      </c>
      <c r="C729" s="8" t="s">
        <v>26</v>
      </c>
      <c r="D729" s="11" t="s">
        <v>179</v>
      </c>
      <c r="E729" s="1"/>
      <c r="F729" s="1" t="s">
        <v>19</v>
      </c>
      <c r="G729" s="8" t="s">
        <v>180</v>
      </c>
      <c r="H729" s="8">
        <v>8248438488</v>
      </c>
      <c r="I729" s="10" t="s">
        <v>30</v>
      </c>
      <c r="J729" s="8" t="s">
        <v>181</v>
      </c>
      <c r="K729" s="8" t="s">
        <v>27</v>
      </c>
      <c r="L729" s="8" t="s">
        <v>28</v>
      </c>
      <c r="M729" s="2" t="s">
        <v>146</v>
      </c>
      <c r="N729" s="6" t="s">
        <v>138</v>
      </c>
      <c r="O729" s="11">
        <v>550</v>
      </c>
      <c r="P729" s="25" t="s">
        <v>942</v>
      </c>
      <c r="Q729" s="12" t="str">
        <f t="shared" si="149"/>
        <v>23</v>
      </c>
      <c r="R729" s="12" t="str">
        <f t="shared" si="150"/>
        <v>08</v>
      </c>
      <c r="S729" s="6" t="s">
        <v>129</v>
      </c>
      <c r="T729" s="1" t="s">
        <v>130</v>
      </c>
      <c r="U729" s="6" t="s">
        <v>148</v>
      </c>
      <c r="V729" s="1" t="s">
        <v>143</v>
      </c>
      <c r="W729" s="1" t="s">
        <v>133</v>
      </c>
      <c r="X729" s="5">
        <v>46230</v>
      </c>
      <c r="Y729" s="1">
        <f t="shared" si="151"/>
        <v>96</v>
      </c>
      <c r="Z729" s="5">
        <v>46230</v>
      </c>
      <c r="AA729" s="3"/>
      <c r="AB729" s="3"/>
      <c r="AD729" s="133" t="str">
        <f t="shared" si="152"/>
        <v>Closed In July</v>
      </c>
    </row>
    <row r="730" spans="1:30" hidden="1">
      <c r="A730" s="9">
        <v>46134</v>
      </c>
      <c r="B730" s="1">
        <v>2026</v>
      </c>
      <c r="C730" s="8" t="s">
        <v>26</v>
      </c>
      <c r="D730" s="11" t="s">
        <v>179</v>
      </c>
      <c r="E730" s="1"/>
      <c r="F730" s="1" t="s">
        <v>19</v>
      </c>
      <c r="G730" s="8" t="s">
        <v>180</v>
      </c>
      <c r="H730" s="8">
        <v>8248438488</v>
      </c>
      <c r="I730" s="10" t="s">
        <v>30</v>
      </c>
      <c r="J730" s="8" t="s">
        <v>181</v>
      </c>
      <c r="K730" s="8" t="s">
        <v>27</v>
      </c>
      <c r="L730" s="8" t="s">
        <v>28</v>
      </c>
      <c r="M730" s="2" t="s">
        <v>146</v>
      </c>
      <c r="N730" s="6" t="s">
        <v>138</v>
      </c>
      <c r="O730" s="11">
        <v>550</v>
      </c>
      <c r="P730" s="25" t="s">
        <v>943</v>
      </c>
      <c r="Q730" s="12" t="str">
        <f t="shared" si="149"/>
        <v>23</v>
      </c>
      <c r="R730" s="12" t="str">
        <f t="shared" si="150"/>
        <v>05</v>
      </c>
      <c r="S730" s="6" t="s">
        <v>129</v>
      </c>
      <c r="T730" s="1" t="s">
        <v>130</v>
      </c>
      <c r="U730" s="6" t="s">
        <v>148</v>
      </c>
      <c r="V730" s="1" t="s">
        <v>143</v>
      </c>
      <c r="W730" s="1" t="s">
        <v>133</v>
      </c>
      <c r="X730" s="5">
        <v>46230</v>
      </c>
      <c r="Y730" s="1">
        <f t="shared" si="151"/>
        <v>96</v>
      </c>
      <c r="Z730" s="5">
        <v>46230</v>
      </c>
      <c r="AA730" s="3"/>
      <c r="AB730" s="3"/>
      <c r="AD730" s="133" t="str">
        <f t="shared" si="152"/>
        <v>Closed In July</v>
      </c>
    </row>
    <row r="731" spans="1:30" hidden="1">
      <c r="A731" s="9">
        <v>46134</v>
      </c>
      <c r="B731" s="1">
        <v>2026</v>
      </c>
      <c r="C731" s="8" t="s">
        <v>26</v>
      </c>
      <c r="D731" s="11" t="s">
        <v>179</v>
      </c>
      <c r="E731" s="1"/>
      <c r="F731" s="1" t="s">
        <v>19</v>
      </c>
      <c r="G731" s="8" t="s">
        <v>180</v>
      </c>
      <c r="H731" s="8">
        <v>8248438488</v>
      </c>
      <c r="I731" s="10" t="s">
        <v>30</v>
      </c>
      <c r="J731" s="8" t="s">
        <v>181</v>
      </c>
      <c r="K731" s="8" t="s">
        <v>27</v>
      </c>
      <c r="L731" s="8" t="s">
        <v>28</v>
      </c>
      <c r="M731" s="2" t="s">
        <v>146</v>
      </c>
      <c r="N731" s="6" t="s">
        <v>138</v>
      </c>
      <c r="O731" s="11">
        <v>550</v>
      </c>
      <c r="P731" s="25" t="s">
        <v>944</v>
      </c>
      <c r="Q731" s="12" t="str">
        <f t="shared" si="149"/>
        <v>23</v>
      </c>
      <c r="R731" s="12" t="str">
        <f t="shared" si="150"/>
        <v>05</v>
      </c>
      <c r="S731" s="6" t="s">
        <v>129</v>
      </c>
      <c r="T731" s="1" t="s">
        <v>130</v>
      </c>
      <c r="U731" s="6" t="s">
        <v>148</v>
      </c>
      <c r="V731" s="1" t="s">
        <v>143</v>
      </c>
      <c r="W731" s="1" t="s">
        <v>133</v>
      </c>
      <c r="X731" s="5">
        <v>46230</v>
      </c>
      <c r="Y731" s="1">
        <f t="shared" si="151"/>
        <v>96</v>
      </c>
      <c r="Z731" s="5">
        <v>46230</v>
      </c>
      <c r="AA731" s="3"/>
      <c r="AB731" s="3"/>
      <c r="AD731" s="133" t="str">
        <f t="shared" si="152"/>
        <v>Closed In July</v>
      </c>
    </row>
    <row r="732" spans="1:30" hidden="1">
      <c r="A732" s="9">
        <v>46134</v>
      </c>
      <c r="B732" s="1">
        <v>2026</v>
      </c>
      <c r="C732" s="8" t="s">
        <v>26</v>
      </c>
      <c r="D732" s="11" t="s">
        <v>179</v>
      </c>
      <c r="E732" s="1"/>
      <c r="F732" s="1" t="s">
        <v>19</v>
      </c>
      <c r="G732" s="8" t="s">
        <v>180</v>
      </c>
      <c r="H732" s="8">
        <v>8248438488</v>
      </c>
      <c r="I732" s="10" t="s">
        <v>30</v>
      </c>
      <c r="J732" s="8" t="s">
        <v>181</v>
      </c>
      <c r="K732" s="8" t="s">
        <v>27</v>
      </c>
      <c r="L732" s="8" t="s">
        <v>28</v>
      </c>
      <c r="M732" s="25" t="s">
        <v>588</v>
      </c>
      <c r="N732" s="6" t="s">
        <v>138</v>
      </c>
      <c r="O732" s="11">
        <v>550</v>
      </c>
      <c r="P732" s="25" t="s">
        <v>945</v>
      </c>
      <c r="Q732" s="12" t="str">
        <f t="shared" si="149"/>
        <v>23</v>
      </c>
      <c r="R732" s="12" t="str">
        <f t="shared" si="150"/>
        <v>05</v>
      </c>
      <c r="S732" s="6" t="s">
        <v>129</v>
      </c>
      <c r="T732" s="1" t="s">
        <v>130</v>
      </c>
      <c r="U732" s="6" t="s">
        <v>142</v>
      </c>
      <c r="V732" s="1" t="s">
        <v>143</v>
      </c>
      <c r="W732" s="1" t="s">
        <v>133</v>
      </c>
      <c r="X732" s="5">
        <v>46230</v>
      </c>
      <c r="Y732" s="1">
        <f t="shared" si="151"/>
        <v>96</v>
      </c>
      <c r="Z732" s="5">
        <v>46230</v>
      </c>
      <c r="AA732" s="3"/>
      <c r="AB732" s="3"/>
      <c r="AD732" s="133" t="str">
        <f t="shared" si="152"/>
        <v>Closed In July</v>
      </c>
    </row>
    <row r="733" spans="1:30" hidden="1">
      <c r="A733" s="9">
        <v>46134</v>
      </c>
      <c r="B733" s="1">
        <v>2026</v>
      </c>
      <c r="C733" s="8" t="s">
        <v>26</v>
      </c>
      <c r="D733" s="11" t="s">
        <v>179</v>
      </c>
      <c r="E733" s="1"/>
      <c r="F733" s="1" t="s">
        <v>19</v>
      </c>
      <c r="G733" s="8" t="s">
        <v>180</v>
      </c>
      <c r="H733" s="8">
        <v>8248438488</v>
      </c>
      <c r="I733" s="10" t="s">
        <v>30</v>
      </c>
      <c r="J733" s="8" t="s">
        <v>181</v>
      </c>
      <c r="K733" s="8" t="s">
        <v>27</v>
      </c>
      <c r="L733" s="8" t="s">
        <v>28</v>
      </c>
      <c r="M733" s="2" t="s">
        <v>146</v>
      </c>
      <c r="N733" s="6" t="s">
        <v>138</v>
      </c>
      <c r="O733" s="11">
        <v>550</v>
      </c>
      <c r="P733" s="25" t="s">
        <v>946</v>
      </c>
      <c r="Q733" s="12" t="str">
        <f t="shared" si="149"/>
        <v>23</v>
      </c>
      <c r="R733" s="12" t="str">
        <f t="shared" si="150"/>
        <v>05</v>
      </c>
      <c r="S733" s="6" t="s">
        <v>129</v>
      </c>
      <c r="T733" s="1" t="s">
        <v>130</v>
      </c>
      <c r="U733" s="6" t="s">
        <v>148</v>
      </c>
      <c r="V733" s="1" t="s">
        <v>143</v>
      </c>
      <c r="W733" s="1" t="s">
        <v>133</v>
      </c>
      <c r="X733" s="5">
        <v>46230</v>
      </c>
      <c r="Y733" s="1">
        <f t="shared" si="151"/>
        <v>96</v>
      </c>
      <c r="Z733" s="5">
        <v>46230</v>
      </c>
      <c r="AA733" s="3"/>
      <c r="AB733" s="3"/>
      <c r="AD733" s="133" t="str">
        <f t="shared" si="152"/>
        <v>Closed In July</v>
      </c>
    </row>
    <row r="734" spans="1:30" hidden="1">
      <c r="A734" s="9">
        <v>46134</v>
      </c>
      <c r="B734" s="1">
        <v>2026</v>
      </c>
      <c r="C734" s="8" t="s">
        <v>26</v>
      </c>
      <c r="D734" s="11" t="s">
        <v>179</v>
      </c>
      <c r="E734" s="1"/>
      <c r="F734" s="1" t="s">
        <v>19</v>
      </c>
      <c r="G734" s="8" t="s">
        <v>180</v>
      </c>
      <c r="H734" s="8">
        <v>8248438488</v>
      </c>
      <c r="I734" s="10" t="s">
        <v>30</v>
      </c>
      <c r="J734" s="8" t="s">
        <v>181</v>
      </c>
      <c r="K734" s="8" t="s">
        <v>27</v>
      </c>
      <c r="L734" s="8" t="s">
        <v>28</v>
      </c>
      <c r="M734" s="2" t="s">
        <v>146</v>
      </c>
      <c r="N734" s="6" t="s">
        <v>138</v>
      </c>
      <c r="O734" s="11">
        <v>550</v>
      </c>
      <c r="P734" s="25" t="s">
        <v>947</v>
      </c>
      <c r="Q734" s="12" t="str">
        <f t="shared" si="149"/>
        <v>23</v>
      </c>
      <c r="R734" s="12" t="str">
        <f t="shared" si="150"/>
        <v>05</v>
      </c>
      <c r="S734" s="6" t="s">
        <v>129</v>
      </c>
      <c r="T734" s="1" t="s">
        <v>130</v>
      </c>
      <c r="U734" s="6" t="s">
        <v>148</v>
      </c>
      <c r="V734" s="1" t="s">
        <v>143</v>
      </c>
      <c r="W734" s="1" t="s">
        <v>133</v>
      </c>
      <c r="X734" s="5">
        <v>46230</v>
      </c>
      <c r="Y734" s="1">
        <f t="shared" si="151"/>
        <v>96</v>
      </c>
      <c r="Z734" s="5">
        <v>46230</v>
      </c>
      <c r="AA734" s="3"/>
      <c r="AB734" s="3"/>
      <c r="AD734" s="133" t="str">
        <f t="shared" si="152"/>
        <v>Closed In July</v>
      </c>
    </row>
    <row r="735" spans="1:30" hidden="1">
      <c r="A735" s="9">
        <v>46134</v>
      </c>
      <c r="B735" s="1">
        <v>2026</v>
      </c>
      <c r="C735" s="8" t="s">
        <v>26</v>
      </c>
      <c r="D735" s="11" t="s">
        <v>179</v>
      </c>
      <c r="E735" s="1"/>
      <c r="F735" s="1" t="s">
        <v>19</v>
      </c>
      <c r="G735" s="8" t="s">
        <v>180</v>
      </c>
      <c r="H735" s="8">
        <v>8248438488</v>
      </c>
      <c r="I735" s="10" t="s">
        <v>30</v>
      </c>
      <c r="J735" s="8" t="s">
        <v>181</v>
      </c>
      <c r="K735" s="8" t="s">
        <v>27</v>
      </c>
      <c r="L735" s="8" t="s">
        <v>28</v>
      </c>
      <c r="M735" s="25" t="s">
        <v>806</v>
      </c>
      <c r="N735" s="6" t="s">
        <v>138</v>
      </c>
      <c r="O735" s="11">
        <v>550</v>
      </c>
      <c r="P735" s="25" t="s">
        <v>948</v>
      </c>
      <c r="Q735" s="12" t="str">
        <f t="shared" si="149"/>
        <v>23</v>
      </c>
      <c r="R735" s="12" t="str">
        <f t="shared" si="150"/>
        <v>05</v>
      </c>
      <c r="S735" s="6" t="s">
        <v>129</v>
      </c>
      <c r="T735" s="1" t="s">
        <v>130</v>
      </c>
      <c r="U735" s="6" t="s">
        <v>154</v>
      </c>
      <c r="V735" s="1" t="s">
        <v>143</v>
      </c>
      <c r="W735" s="1" t="s">
        <v>133</v>
      </c>
      <c r="X735" s="5">
        <v>46230</v>
      </c>
      <c r="Y735" s="1">
        <f t="shared" si="151"/>
        <v>96</v>
      </c>
      <c r="Z735" s="5">
        <v>46230</v>
      </c>
      <c r="AA735" s="3"/>
      <c r="AB735" s="3"/>
      <c r="AD735" s="133" t="str">
        <f t="shared" si="152"/>
        <v>Closed In July</v>
      </c>
    </row>
    <row r="736" spans="1:30" hidden="1">
      <c r="A736" s="9">
        <v>46134</v>
      </c>
      <c r="B736" s="1">
        <v>2026</v>
      </c>
      <c r="C736" s="8" t="s">
        <v>26</v>
      </c>
      <c r="D736" s="11" t="s">
        <v>179</v>
      </c>
      <c r="E736" s="1"/>
      <c r="F736" s="1" t="s">
        <v>19</v>
      </c>
      <c r="G736" s="8" t="s">
        <v>180</v>
      </c>
      <c r="H736" s="8">
        <v>8248438488</v>
      </c>
      <c r="I736" s="10" t="s">
        <v>30</v>
      </c>
      <c r="J736" s="8" t="s">
        <v>181</v>
      </c>
      <c r="K736" s="8" t="s">
        <v>27</v>
      </c>
      <c r="L736" s="8" t="s">
        <v>28</v>
      </c>
      <c r="M736" s="25" t="s">
        <v>588</v>
      </c>
      <c r="N736" s="6" t="s">
        <v>138</v>
      </c>
      <c r="O736" s="11">
        <v>550</v>
      </c>
      <c r="P736" s="25" t="s">
        <v>949</v>
      </c>
      <c r="Q736" s="12" t="str">
        <f t="shared" si="149"/>
        <v>23</v>
      </c>
      <c r="R736" s="12" t="str">
        <f t="shared" si="150"/>
        <v>06</v>
      </c>
      <c r="S736" s="6" t="s">
        <v>129</v>
      </c>
      <c r="T736" s="1" t="s">
        <v>130</v>
      </c>
      <c r="U736" s="6" t="s">
        <v>142</v>
      </c>
      <c r="V736" s="1" t="s">
        <v>143</v>
      </c>
      <c r="W736" s="1" t="s">
        <v>133</v>
      </c>
      <c r="X736" s="5">
        <v>46230</v>
      </c>
      <c r="Y736" s="1">
        <f t="shared" si="151"/>
        <v>96</v>
      </c>
      <c r="Z736" s="5">
        <v>46230</v>
      </c>
      <c r="AA736" s="3"/>
      <c r="AB736" s="3"/>
      <c r="AD736" s="133" t="str">
        <f t="shared" si="152"/>
        <v>Closed In July</v>
      </c>
    </row>
    <row r="737" spans="1:30" hidden="1">
      <c r="A737" s="9">
        <v>46134</v>
      </c>
      <c r="B737" s="1">
        <v>2026</v>
      </c>
      <c r="C737" s="8" t="s">
        <v>26</v>
      </c>
      <c r="D737" s="11" t="s">
        <v>179</v>
      </c>
      <c r="E737" s="1"/>
      <c r="F737" s="1" t="s">
        <v>19</v>
      </c>
      <c r="G737" s="8" t="s">
        <v>180</v>
      </c>
      <c r="H737" s="8">
        <v>8248438488</v>
      </c>
      <c r="I737" s="10" t="s">
        <v>30</v>
      </c>
      <c r="J737" s="8" t="s">
        <v>181</v>
      </c>
      <c r="K737" s="8" t="s">
        <v>27</v>
      </c>
      <c r="L737" s="8" t="s">
        <v>28</v>
      </c>
      <c r="M737" s="2" t="s">
        <v>146</v>
      </c>
      <c r="N737" s="6" t="s">
        <v>138</v>
      </c>
      <c r="O737" s="11">
        <v>550</v>
      </c>
      <c r="P737" s="25" t="s">
        <v>950</v>
      </c>
      <c r="Q737" s="12" t="str">
        <f t="shared" si="149"/>
        <v>23</v>
      </c>
      <c r="R737" s="12" t="str">
        <f t="shared" si="150"/>
        <v>05</v>
      </c>
      <c r="S737" s="6" t="s">
        <v>129</v>
      </c>
      <c r="T737" s="1" t="s">
        <v>130</v>
      </c>
      <c r="U737" s="6" t="s">
        <v>148</v>
      </c>
      <c r="V737" s="1" t="s">
        <v>143</v>
      </c>
      <c r="W737" s="1" t="s">
        <v>133</v>
      </c>
      <c r="X737" s="5">
        <v>46230</v>
      </c>
      <c r="Y737" s="1">
        <f t="shared" si="151"/>
        <v>96</v>
      </c>
      <c r="Z737" s="5">
        <v>46230</v>
      </c>
      <c r="AA737" s="3"/>
      <c r="AB737" s="3"/>
      <c r="AD737" s="133" t="str">
        <f t="shared" si="152"/>
        <v>Closed In July</v>
      </c>
    </row>
    <row r="738" spans="1:30" hidden="1">
      <c r="A738" s="9">
        <v>46134</v>
      </c>
      <c r="B738" s="1">
        <v>2026</v>
      </c>
      <c r="C738" s="8" t="s">
        <v>26</v>
      </c>
      <c r="D738" s="11" t="s">
        <v>179</v>
      </c>
      <c r="E738" s="1"/>
      <c r="F738" s="1" t="s">
        <v>19</v>
      </c>
      <c r="G738" s="8" t="s">
        <v>180</v>
      </c>
      <c r="H738" s="8">
        <v>8248438488</v>
      </c>
      <c r="I738" s="10" t="s">
        <v>30</v>
      </c>
      <c r="J738" s="8" t="s">
        <v>181</v>
      </c>
      <c r="K738" s="8" t="s">
        <v>27</v>
      </c>
      <c r="L738" s="8" t="s">
        <v>28</v>
      </c>
      <c r="M738" s="25" t="s">
        <v>588</v>
      </c>
      <c r="N738" s="6" t="s">
        <v>138</v>
      </c>
      <c r="O738" s="11">
        <v>550</v>
      </c>
      <c r="P738" s="25" t="s">
        <v>951</v>
      </c>
      <c r="Q738" s="12" t="str">
        <f t="shared" si="149"/>
        <v>23</v>
      </c>
      <c r="R738" s="12" t="str">
        <f t="shared" si="150"/>
        <v>06</v>
      </c>
      <c r="S738" s="6" t="s">
        <v>129</v>
      </c>
      <c r="T738" s="1" t="s">
        <v>130</v>
      </c>
      <c r="U738" s="6" t="s">
        <v>142</v>
      </c>
      <c r="V738" s="1" t="s">
        <v>143</v>
      </c>
      <c r="W738" s="1" t="s">
        <v>133</v>
      </c>
      <c r="X738" s="5">
        <v>46230</v>
      </c>
      <c r="Y738" s="1">
        <f t="shared" si="151"/>
        <v>96</v>
      </c>
      <c r="Z738" s="5">
        <v>46230</v>
      </c>
      <c r="AA738" s="3"/>
      <c r="AB738" s="3"/>
      <c r="AD738" s="133" t="str">
        <f t="shared" si="152"/>
        <v>Closed In July</v>
      </c>
    </row>
    <row r="739" spans="1:30" hidden="1">
      <c r="A739" s="9">
        <v>46134</v>
      </c>
      <c r="B739" s="1">
        <v>2026</v>
      </c>
      <c r="C739" s="8" t="s">
        <v>26</v>
      </c>
      <c r="D739" s="11" t="s">
        <v>179</v>
      </c>
      <c r="E739" s="1"/>
      <c r="F739" s="1" t="s">
        <v>19</v>
      </c>
      <c r="G739" s="8" t="s">
        <v>180</v>
      </c>
      <c r="H739" s="8">
        <v>8248438488</v>
      </c>
      <c r="I739" s="10" t="s">
        <v>30</v>
      </c>
      <c r="J739" s="8" t="s">
        <v>181</v>
      </c>
      <c r="K739" s="8" t="s">
        <v>27</v>
      </c>
      <c r="L739" s="8" t="s">
        <v>28</v>
      </c>
      <c r="M739" s="25" t="s">
        <v>588</v>
      </c>
      <c r="N739" s="6" t="s">
        <v>138</v>
      </c>
      <c r="O739" s="11">
        <v>550</v>
      </c>
      <c r="P739" s="25" t="s">
        <v>952</v>
      </c>
      <c r="Q739" s="12" t="str">
        <f t="shared" si="149"/>
        <v>23</v>
      </c>
      <c r="R739" s="12" t="str">
        <f t="shared" si="150"/>
        <v>05</v>
      </c>
      <c r="S739" s="6" t="s">
        <v>129</v>
      </c>
      <c r="T739" s="1" t="s">
        <v>130</v>
      </c>
      <c r="U739" s="6" t="s">
        <v>142</v>
      </c>
      <c r="V739" s="1" t="s">
        <v>143</v>
      </c>
      <c r="W739" s="1" t="s">
        <v>133</v>
      </c>
      <c r="X739" s="5">
        <v>46230</v>
      </c>
      <c r="Y739" s="1">
        <f t="shared" si="151"/>
        <v>96</v>
      </c>
      <c r="Z739" s="5">
        <v>46230</v>
      </c>
      <c r="AA739" s="3"/>
      <c r="AB739" s="3"/>
      <c r="AD739" s="133" t="str">
        <f t="shared" si="152"/>
        <v>Closed In July</v>
      </c>
    </row>
    <row r="740" spans="1:30" hidden="1">
      <c r="A740" s="9">
        <v>46134</v>
      </c>
      <c r="B740" s="1">
        <v>2026</v>
      </c>
      <c r="C740" s="8" t="s">
        <v>26</v>
      </c>
      <c r="D740" s="11" t="s">
        <v>179</v>
      </c>
      <c r="E740" s="1"/>
      <c r="F740" s="1" t="s">
        <v>19</v>
      </c>
      <c r="G740" s="8" t="s">
        <v>180</v>
      </c>
      <c r="H740" s="8">
        <v>8248438488</v>
      </c>
      <c r="I740" s="10" t="s">
        <v>30</v>
      </c>
      <c r="J740" s="8" t="s">
        <v>181</v>
      </c>
      <c r="K740" s="8" t="s">
        <v>27</v>
      </c>
      <c r="L740" s="8" t="s">
        <v>28</v>
      </c>
      <c r="M740" s="2" t="s">
        <v>146</v>
      </c>
      <c r="N740" s="6" t="s">
        <v>138</v>
      </c>
      <c r="O740" s="11">
        <v>550</v>
      </c>
      <c r="P740" s="25" t="s">
        <v>953</v>
      </c>
      <c r="Q740" s="12" t="str">
        <f t="shared" si="149"/>
        <v>23</v>
      </c>
      <c r="R740" s="12" t="str">
        <f t="shared" si="150"/>
        <v>06</v>
      </c>
      <c r="S740" s="6" t="s">
        <v>129</v>
      </c>
      <c r="T740" s="1" t="s">
        <v>130</v>
      </c>
      <c r="U740" s="6" t="s">
        <v>148</v>
      </c>
      <c r="V740" s="1" t="s">
        <v>143</v>
      </c>
      <c r="W740" s="1" t="s">
        <v>133</v>
      </c>
      <c r="X740" s="5">
        <v>46230</v>
      </c>
      <c r="Y740" s="1">
        <f t="shared" si="151"/>
        <v>96</v>
      </c>
      <c r="Z740" s="5">
        <v>46230</v>
      </c>
      <c r="AA740" s="3"/>
      <c r="AB740" s="3"/>
      <c r="AD740" s="133" t="str">
        <f t="shared" si="152"/>
        <v>Closed In July</v>
      </c>
    </row>
    <row r="741" spans="1:30" hidden="1">
      <c r="A741" s="9">
        <v>46134</v>
      </c>
      <c r="B741" s="1">
        <v>2026</v>
      </c>
      <c r="C741" s="8" t="s">
        <v>26</v>
      </c>
      <c r="D741" s="11" t="s">
        <v>179</v>
      </c>
      <c r="E741" s="1"/>
      <c r="F741" s="1" t="s">
        <v>19</v>
      </c>
      <c r="G741" s="8" t="s">
        <v>180</v>
      </c>
      <c r="H741" s="8">
        <v>8248438488</v>
      </c>
      <c r="I741" s="10" t="s">
        <v>30</v>
      </c>
      <c r="J741" s="8" t="s">
        <v>181</v>
      </c>
      <c r="K741" s="8" t="s">
        <v>27</v>
      </c>
      <c r="L741" s="8" t="s">
        <v>28</v>
      </c>
      <c r="M741" s="24" t="s">
        <v>137</v>
      </c>
      <c r="N741" s="6" t="s">
        <v>138</v>
      </c>
      <c r="O741" s="49">
        <v>550</v>
      </c>
      <c r="P741" s="2" t="s">
        <v>954</v>
      </c>
      <c r="Q741" s="12" t="str">
        <f t="shared" ref="Q741" si="153">MID(P741,5,2)</f>
        <v>23</v>
      </c>
      <c r="R741" s="12" t="str">
        <f t="shared" ref="R741" si="154">MID(P741,7,2)</f>
        <v>05</v>
      </c>
      <c r="S741" s="6" t="s">
        <v>129</v>
      </c>
      <c r="T741" s="1" t="s">
        <v>130</v>
      </c>
      <c r="U741" s="6" t="s">
        <v>142</v>
      </c>
      <c r="V741" s="1" t="s">
        <v>143</v>
      </c>
      <c r="W741" s="1" t="s">
        <v>133</v>
      </c>
      <c r="X741" s="5">
        <v>46231</v>
      </c>
      <c r="Y741" s="1">
        <f t="shared" ref="Y741" si="155">X741-A741</f>
        <v>97</v>
      </c>
      <c r="Z741" s="5">
        <v>46231</v>
      </c>
      <c r="AA741" s="3"/>
      <c r="AB741" s="3"/>
      <c r="AD741" s="133" t="str">
        <f t="shared" si="152"/>
        <v>Closed In July</v>
      </c>
    </row>
    <row r="742" spans="1:30" hidden="1">
      <c r="A742" s="9">
        <v>46134</v>
      </c>
      <c r="B742" s="1">
        <v>2026</v>
      </c>
      <c r="C742" s="8" t="s">
        <v>26</v>
      </c>
      <c r="D742" s="11" t="s">
        <v>179</v>
      </c>
      <c r="E742" s="1"/>
      <c r="F742" s="1" t="s">
        <v>19</v>
      </c>
      <c r="G742" s="8" t="s">
        <v>180</v>
      </c>
      <c r="H742" s="8">
        <v>8248438488</v>
      </c>
      <c r="I742" s="10" t="s">
        <v>30</v>
      </c>
      <c r="J742" s="8" t="s">
        <v>181</v>
      </c>
      <c r="K742" s="8" t="s">
        <v>27</v>
      </c>
      <c r="L742" s="8" t="s">
        <v>28</v>
      </c>
      <c r="M742" s="25" t="s">
        <v>126</v>
      </c>
      <c r="N742" s="1" t="s">
        <v>127</v>
      </c>
      <c r="O742" s="49">
        <v>550</v>
      </c>
      <c r="P742" s="2" t="s">
        <v>955</v>
      </c>
      <c r="Q742" s="12" t="str">
        <f t="shared" ref="Q742:Q774" si="156">MID(P742,5,2)</f>
        <v>23</v>
      </c>
      <c r="R742" s="12" t="str">
        <f t="shared" ref="R742:R774" si="157">MID(P742,7,2)</f>
        <v>05</v>
      </c>
      <c r="S742" s="6" t="s">
        <v>129</v>
      </c>
      <c r="T742" s="1" t="s">
        <v>130</v>
      </c>
      <c r="U742" s="6" t="s">
        <v>145</v>
      </c>
      <c r="V742" s="6" t="s">
        <v>132</v>
      </c>
      <c r="W742" s="1" t="s">
        <v>133</v>
      </c>
      <c r="X742" s="5">
        <v>46231</v>
      </c>
      <c r="Y742" s="1">
        <f t="shared" ref="Y742:Y775" si="158">X742-A742</f>
        <v>97</v>
      </c>
      <c r="Z742" s="5">
        <v>46231</v>
      </c>
      <c r="AA742" s="3"/>
      <c r="AB742" s="3"/>
      <c r="AD742" s="133" t="str">
        <f t="shared" si="152"/>
        <v>Closed In July</v>
      </c>
    </row>
    <row r="743" spans="1:30" hidden="1">
      <c r="A743" s="9">
        <v>46134</v>
      </c>
      <c r="B743" s="1">
        <v>2026</v>
      </c>
      <c r="C743" s="8" t="s">
        <v>26</v>
      </c>
      <c r="D743" s="11" t="s">
        <v>179</v>
      </c>
      <c r="E743" s="1"/>
      <c r="F743" s="1" t="s">
        <v>19</v>
      </c>
      <c r="G743" s="8" t="s">
        <v>180</v>
      </c>
      <c r="H743" s="8">
        <v>8248438488</v>
      </c>
      <c r="I743" s="10" t="s">
        <v>30</v>
      </c>
      <c r="J743" s="8" t="s">
        <v>181</v>
      </c>
      <c r="K743" s="8" t="s">
        <v>27</v>
      </c>
      <c r="L743" s="8" t="s">
        <v>28</v>
      </c>
      <c r="M743" s="2" t="s">
        <v>146</v>
      </c>
      <c r="N743" s="6" t="s">
        <v>138</v>
      </c>
      <c r="O743" s="49">
        <v>550</v>
      </c>
      <c r="P743" s="2" t="s">
        <v>956</v>
      </c>
      <c r="Q743" s="12" t="str">
        <f t="shared" si="156"/>
        <v>23</v>
      </c>
      <c r="R743" s="12" t="str">
        <f t="shared" si="157"/>
        <v>05</v>
      </c>
      <c r="S743" s="6" t="s">
        <v>129</v>
      </c>
      <c r="T743" s="1" t="s">
        <v>130</v>
      </c>
      <c r="U743" s="6" t="s">
        <v>148</v>
      </c>
      <c r="V743" s="1" t="s">
        <v>143</v>
      </c>
      <c r="W743" s="1" t="s">
        <v>133</v>
      </c>
      <c r="X743" s="5">
        <v>46231</v>
      </c>
      <c r="Y743" s="1">
        <f t="shared" si="158"/>
        <v>97</v>
      </c>
      <c r="Z743" s="5">
        <v>46231</v>
      </c>
      <c r="AA743" s="3"/>
      <c r="AB743" s="3"/>
      <c r="AD743" s="133" t="str">
        <f t="shared" si="152"/>
        <v>Closed In July</v>
      </c>
    </row>
    <row r="744" spans="1:30" hidden="1">
      <c r="A744" s="9">
        <v>46134</v>
      </c>
      <c r="B744" s="1">
        <v>2026</v>
      </c>
      <c r="C744" s="8" t="s">
        <v>26</v>
      </c>
      <c r="D744" s="11" t="s">
        <v>179</v>
      </c>
      <c r="E744" s="1"/>
      <c r="F744" s="1" t="s">
        <v>19</v>
      </c>
      <c r="G744" s="8" t="s">
        <v>180</v>
      </c>
      <c r="H744" s="8">
        <v>8248438488</v>
      </c>
      <c r="I744" s="10" t="s">
        <v>30</v>
      </c>
      <c r="J744" s="8" t="s">
        <v>181</v>
      </c>
      <c r="K744" s="8" t="s">
        <v>27</v>
      </c>
      <c r="L744" s="8" t="s">
        <v>28</v>
      </c>
      <c r="M744" s="25" t="s">
        <v>588</v>
      </c>
      <c r="N744" s="6" t="s">
        <v>138</v>
      </c>
      <c r="O744" s="49">
        <v>550</v>
      </c>
      <c r="P744" s="2" t="s">
        <v>957</v>
      </c>
      <c r="Q744" s="12" t="str">
        <f t="shared" si="156"/>
        <v>23</v>
      </c>
      <c r="R744" s="12" t="str">
        <f t="shared" si="157"/>
        <v>05</v>
      </c>
      <c r="S744" s="6" t="s">
        <v>129</v>
      </c>
      <c r="T744" s="1" t="s">
        <v>130</v>
      </c>
      <c r="U744" s="6" t="s">
        <v>142</v>
      </c>
      <c r="V744" s="1" t="s">
        <v>143</v>
      </c>
      <c r="W744" s="1" t="s">
        <v>133</v>
      </c>
      <c r="X744" s="5">
        <v>46231</v>
      </c>
      <c r="Y744" s="1">
        <f t="shared" si="158"/>
        <v>97</v>
      </c>
      <c r="Z744" s="5">
        <v>46231</v>
      </c>
      <c r="AA744" s="3"/>
      <c r="AB744" s="3"/>
      <c r="AD744" s="133" t="str">
        <f t="shared" si="152"/>
        <v>Closed In July</v>
      </c>
    </row>
    <row r="745" spans="1:30" hidden="1">
      <c r="A745" s="9">
        <v>46134</v>
      </c>
      <c r="B745" s="1">
        <v>2026</v>
      </c>
      <c r="C745" s="8" t="s">
        <v>26</v>
      </c>
      <c r="D745" s="11" t="s">
        <v>179</v>
      </c>
      <c r="E745" s="1"/>
      <c r="F745" s="1" t="s">
        <v>19</v>
      </c>
      <c r="G745" s="8" t="s">
        <v>180</v>
      </c>
      <c r="H745" s="8">
        <v>8248438488</v>
      </c>
      <c r="I745" s="10" t="s">
        <v>30</v>
      </c>
      <c r="J745" s="8" t="s">
        <v>181</v>
      </c>
      <c r="K745" s="8" t="s">
        <v>27</v>
      </c>
      <c r="L745" s="8" t="s">
        <v>28</v>
      </c>
      <c r="M745" s="25" t="s">
        <v>137</v>
      </c>
      <c r="N745" s="6" t="s">
        <v>138</v>
      </c>
      <c r="O745" s="49">
        <v>550</v>
      </c>
      <c r="P745" s="2" t="s">
        <v>958</v>
      </c>
      <c r="Q745" s="12" t="str">
        <f t="shared" si="156"/>
        <v>23</v>
      </c>
      <c r="R745" s="12" t="str">
        <f t="shared" si="157"/>
        <v>05</v>
      </c>
      <c r="S745" s="6" t="s">
        <v>129</v>
      </c>
      <c r="T745" s="1" t="s">
        <v>130</v>
      </c>
      <c r="U745" s="6" t="s">
        <v>142</v>
      </c>
      <c r="V745" s="1" t="s">
        <v>143</v>
      </c>
      <c r="W745" s="1" t="s">
        <v>133</v>
      </c>
      <c r="X745" s="5">
        <v>46231</v>
      </c>
      <c r="Y745" s="1">
        <f t="shared" si="158"/>
        <v>97</v>
      </c>
      <c r="Z745" s="5">
        <v>46231</v>
      </c>
      <c r="AA745" s="3"/>
      <c r="AB745" s="3"/>
      <c r="AD745" s="133" t="str">
        <f t="shared" si="152"/>
        <v>Closed In July</v>
      </c>
    </row>
    <row r="746" spans="1:30" hidden="1">
      <c r="A746" s="9">
        <v>46134</v>
      </c>
      <c r="B746" s="1">
        <v>2026</v>
      </c>
      <c r="C746" s="8" t="s">
        <v>26</v>
      </c>
      <c r="D746" s="11" t="s">
        <v>179</v>
      </c>
      <c r="E746" s="1"/>
      <c r="F746" s="1" t="s">
        <v>19</v>
      </c>
      <c r="G746" s="8" t="s">
        <v>180</v>
      </c>
      <c r="H746" s="8">
        <v>8248438488</v>
      </c>
      <c r="I746" s="10" t="s">
        <v>30</v>
      </c>
      <c r="J746" s="8" t="s">
        <v>181</v>
      </c>
      <c r="K746" s="8" t="s">
        <v>27</v>
      </c>
      <c r="L746" s="8" t="s">
        <v>28</v>
      </c>
      <c r="M746" s="25" t="s">
        <v>588</v>
      </c>
      <c r="N746" s="6" t="s">
        <v>138</v>
      </c>
      <c r="O746" s="49">
        <v>550</v>
      </c>
      <c r="P746" s="2" t="s">
        <v>959</v>
      </c>
      <c r="Q746" s="12" t="str">
        <f t="shared" si="156"/>
        <v>23</v>
      </c>
      <c r="R746" s="12" t="str">
        <f t="shared" si="157"/>
        <v>05</v>
      </c>
      <c r="S746" s="6" t="s">
        <v>129</v>
      </c>
      <c r="T746" s="1" t="s">
        <v>130</v>
      </c>
      <c r="U746" s="6" t="s">
        <v>142</v>
      </c>
      <c r="V746" s="1" t="s">
        <v>143</v>
      </c>
      <c r="W746" s="1" t="s">
        <v>133</v>
      </c>
      <c r="X746" s="5">
        <v>46231</v>
      </c>
      <c r="Y746" s="1">
        <f t="shared" si="158"/>
        <v>97</v>
      </c>
      <c r="Z746" s="5">
        <v>46231</v>
      </c>
      <c r="AA746" s="3"/>
      <c r="AB746" s="3"/>
      <c r="AD746" s="133" t="str">
        <f t="shared" si="152"/>
        <v>Closed In July</v>
      </c>
    </row>
    <row r="747" spans="1:30" hidden="1">
      <c r="A747" s="9">
        <v>46134</v>
      </c>
      <c r="B747" s="1">
        <v>2026</v>
      </c>
      <c r="C747" s="8" t="s">
        <v>26</v>
      </c>
      <c r="D747" s="11" t="s">
        <v>179</v>
      </c>
      <c r="E747" s="1"/>
      <c r="F747" s="1" t="s">
        <v>19</v>
      </c>
      <c r="G747" s="8" t="s">
        <v>180</v>
      </c>
      <c r="H747" s="8">
        <v>8248438488</v>
      </c>
      <c r="I747" s="10" t="s">
        <v>30</v>
      </c>
      <c r="J747" s="8" t="s">
        <v>181</v>
      </c>
      <c r="K747" s="8" t="s">
        <v>27</v>
      </c>
      <c r="L747" s="8" t="s">
        <v>28</v>
      </c>
      <c r="M747" s="25" t="s">
        <v>588</v>
      </c>
      <c r="N747" s="6" t="s">
        <v>138</v>
      </c>
      <c r="O747" s="49">
        <v>550</v>
      </c>
      <c r="P747" s="2" t="s">
        <v>960</v>
      </c>
      <c r="Q747" s="12" t="str">
        <f t="shared" si="156"/>
        <v>23</v>
      </c>
      <c r="R747" s="12" t="str">
        <f t="shared" si="157"/>
        <v>05</v>
      </c>
      <c r="S747" s="6" t="s">
        <v>129</v>
      </c>
      <c r="T747" s="1" t="s">
        <v>130</v>
      </c>
      <c r="U747" s="6" t="s">
        <v>142</v>
      </c>
      <c r="V747" s="1" t="s">
        <v>143</v>
      </c>
      <c r="W747" s="1" t="s">
        <v>133</v>
      </c>
      <c r="X747" s="5">
        <v>46231</v>
      </c>
      <c r="Y747" s="1">
        <f t="shared" si="158"/>
        <v>97</v>
      </c>
      <c r="Z747" s="5">
        <v>46231</v>
      </c>
      <c r="AA747" s="3"/>
      <c r="AB747" s="3"/>
      <c r="AD747" s="133" t="str">
        <f t="shared" si="152"/>
        <v>Closed In July</v>
      </c>
    </row>
    <row r="748" spans="1:30" hidden="1">
      <c r="A748" s="9">
        <v>46134</v>
      </c>
      <c r="B748" s="1">
        <v>2026</v>
      </c>
      <c r="C748" s="8" t="s">
        <v>26</v>
      </c>
      <c r="D748" s="11" t="s">
        <v>179</v>
      </c>
      <c r="E748" s="1"/>
      <c r="F748" s="1" t="s">
        <v>19</v>
      </c>
      <c r="G748" s="8" t="s">
        <v>180</v>
      </c>
      <c r="H748" s="8">
        <v>8248438488</v>
      </c>
      <c r="I748" s="10" t="s">
        <v>30</v>
      </c>
      <c r="J748" s="8" t="s">
        <v>181</v>
      </c>
      <c r="K748" s="8" t="s">
        <v>27</v>
      </c>
      <c r="L748" s="8" t="s">
        <v>28</v>
      </c>
      <c r="M748" s="25" t="s">
        <v>588</v>
      </c>
      <c r="N748" s="6" t="s">
        <v>138</v>
      </c>
      <c r="O748" s="49">
        <v>550</v>
      </c>
      <c r="P748" s="2" t="s">
        <v>961</v>
      </c>
      <c r="Q748" s="12" t="str">
        <f t="shared" si="156"/>
        <v>23</v>
      </c>
      <c r="R748" s="12" t="str">
        <f t="shared" si="157"/>
        <v>05</v>
      </c>
      <c r="S748" s="6" t="s">
        <v>129</v>
      </c>
      <c r="T748" s="1" t="s">
        <v>130</v>
      </c>
      <c r="U748" s="6" t="s">
        <v>142</v>
      </c>
      <c r="V748" s="1" t="s">
        <v>143</v>
      </c>
      <c r="W748" s="1" t="s">
        <v>133</v>
      </c>
      <c r="X748" s="5">
        <v>46231</v>
      </c>
      <c r="Y748" s="1">
        <f t="shared" si="158"/>
        <v>97</v>
      </c>
      <c r="Z748" s="5">
        <v>46231</v>
      </c>
      <c r="AA748" s="3"/>
      <c r="AB748" s="3"/>
      <c r="AD748" s="133" t="str">
        <f t="shared" si="152"/>
        <v>Closed In July</v>
      </c>
    </row>
    <row r="749" spans="1:30" hidden="1">
      <c r="A749" s="9">
        <v>46134</v>
      </c>
      <c r="B749" s="1">
        <v>2026</v>
      </c>
      <c r="C749" s="8" t="s">
        <v>26</v>
      </c>
      <c r="D749" s="11" t="s">
        <v>179</v>
      </c>
      <c r="E749" s="1"/>
      <c r="F749" s="1" t="s">
        <v>19</v>
      </c>
      <c r="G749" s="8" t="s">
        <v>180</v>
      </c>
      <c r="H749" s="8">
        <v>8248438488</v>
      </c>
      <c r="I749" s="10" t="s">
        <v>30</v>
      </c>
      <c r="J749" s="8" t="s">
        <v>181</v>
      </c>
      <c r="K749" s="8" t="s">
        <v>27</v>
      </c>
      <c r="L749" s="8" t="s">
        <v>28</v>
      </c>
      <c r="M749" s="25" t="s">
        <v>588</v>
      </c>
      <c r="N749" s="6" t="s">
        <v>138</v>
      </c>
      <c r="O749" s="49">
        <v>550</v>
      </c>
      <c r="P749" s="2" t="s">
        <v>962</v>
      </c>
      <c r="Q749" s="12" t="str">
        <f t="shared" si="156"/>
        <v>23</v>
      </c>
      <c r="R749" s="12" t="str">
        <f t="shared" si="157"/>
        <v>05</v>
      </c>
      <c r="S749" s="6" t="s">
        <v>129</v>
      </c>
      <c r="T749" s="1" t="s">
        <v>130</v>
      </c>
      <c r="U749" s="6" t="s">
        <v>142</v>
      </c>
      <c r="V749" s="1" t="s">
        <v>143</v>
      </c>
      <c r="W749" s="1" t="s">
        <v>133</v>
      </c>
      <c r="X749" s="5">
        <v>46231</v>
      </c>
      <c r="Y749" s="1">
        <f t="shared" si="158"/>
        <v>97</v>
      </c>
      <c r="Z749" s="5">
        <v>46231</v>
      </c>
      <c r="AA749" s="3"/>
      <c r="AB749" s="3"/>
      <c r="AD749" s="133" t="str">
        <f t="shared" si="152"/>
        <v>Closed In July</v>
      </c>
    </row>
    <row r="750" spans="1:30" hidden="1">
      <c r="A750" s="9">
        <v>46134</v>
      </c>
      <c r="B750" s="1">
        <v>2026</v>
      </c>
      <c r="C750" s="8" t="s">
        <v>26</v>
      </c>
      <c r="D750" s="11" t="s">
        <v>179</v>
      </c>
      <c r="E750" s="1"/>
      <c r="F750" s="1" t="s">
        <v>19</v>
      </c>
      <c r="G750" s="8" t="s">
        <v>180</v>
      </c>
      <c r="H750" s="8">
        <v>8248438488</v>
      </c>
      <c r="I750" s="10" t="s">
        <v>30</v>
      </c>
      <c r="J750" s="8" t="s">
        <v>181</v>
      </c>
      <c r="K750" s="8" t="s">
        <v>27</v>
      </c>
      <c r="L750" s="8" t="s">
        <v>28</v>
      </c>
      <c r="M750" s="25" t="s">
        <v>588</v>
      </c>
      <c r="N750" s="6" t="s">
        <v>138</v>
      </c>
      <c r="O750" s="49">
        <v>550</v>
      </c>
      <c r="P750" s="2" t="s">
        <v>963</v>
      </c>
      <c r="Q750" s="12" t="str">
        <f t="shared" si="156"/>
        <v>23</v>
      </c>
      <c r="R750" s="12" t="str">
        <f t="shared" si="157"/>
        <v>05</v>
      </c>
      <c r="S750" s="6" t="s">
        <v>129</v>
      </c>
      <c r="T750" s="1" t="s">
        <v>130</v>
      </c>
      <c r="U750" s="6" t="s">
        <v>142</v>
      </c>
      <c r="V750" s="1" t="s">
        <v>143</v>
      </c>
      <c r="W750" s="1" t="s">
        <v>133</v>
      </c>
      <c r="X750" s="5">
        <v>46231</v>
      </c>
      <c r="Y750" s="1">
        <f t="shared" si="158"/>
        <v>97</v>
      </c>
      <c r="Z750" s="5">
        <v>46231</v>
      </c>
      <c r="AA750" s="3"/>
      <c r="AB750" s="3"/>
      <c r="AD750" s="133" t="str">
        <f t="shared" si="152"/>
        <v>Closed In July</v>
      </c>
    </row>
    <row r="751" spans="1:30" hidden="1">
      <c r="A751" s="9">
        <v>46134</v>
      </c>
      <c r="B751" s="1">
        <v>2026</v>
      </c>
      <c r="C751" s="8" t="s">
        <v>26</v>
      </c>
      <c r="D751" s="11" t="s">
        <v>179</v>
      </c>
      <c r="E751" s="1"/>
      <c r="F751" s="1" t="s">
        <v>19</v>
      </c>
      <c r="G751" s="8" t="s">
        <v>180</v>
      </c>
      <c r="H751" s="8">
        <v>8248438488</v>
      </c>
      <c r="I751" s="10" t="s">
        <v>30</v>
      </c>
      <c r="J751" s="8" t="s">
        <v>181</v>
      </c>
      <c r="K751" s="8" t="s">
        <v>27</v>
      </c>
      <c r="L751" s="8" t="s">
        <v>28</v>
      </c>
      <c r="M751" s="25" t="s">
        <v>588</v>
      </c>
      <c r="N751" s="6" t="s">
        <v>138</v>
      </c>
      <c r="O751" s="49">
        <v>550</v>
      </c>
      <c r="P751" s="2" t="s">
        <v>964</v>
      </c>
      <c r="Q751" s="12" t="str">
        <f t="shared" si="156"/>
        <v>23</v>
      </c>
      <c r="R751" s="12" t="str">
        <f t="shared" si="157"/>
        <v>05</v>
      </c>
      <c r="S751" s="6" t="s">
        <v>129</v>
      </c>
      <c r="T751" s="1" t="s">
        <v>130</v>
      </c>
      <c r="U751" s="6" t="s">
        <v>142</v>
      </c>
      <c r="V751" s="1" t="s">
        <v>143</v>
      </c>
      <c r="W751" s="1" t="s">
        <v>133</v>
      </c>
      <c r="X751" s="5">
        <v>46231</v>
      </c>
      <c r="Y751" s="1">
        <f t="shared" si="158"/>
        <v>97</v>
      </c>
      <c r="Z751" s="5">
        <v>46231</v>
      </c>
      <c r="AA751" s="3"/>
      <c r="AB751" s="3"/>
      <c r="AD751" s="133" t="str">
        <f t="shared" si="152"/>
        <v>Closed In July</v>
      </c>
    </row>
    <row r="752" spans="1:30" hidden="1">
      <c r="A752" s="9">
        <v>46134</v>
      </c>
      <c r="B752" s="1">
        <v>2026</v>
      </c>
      <c r="C752" s="8" t="s">
        <v>26</v>
      </c>
      <c r="D752" s="11" t="s">
        <v>179</v>
      </c>
      <c r="E752" s="1"/>
      <c r="F752" s="1" t="s">
        <v>19</v>
      </c>
      <c r="G752" s="8" t="s">
        <v>180</v>
      </c>
      <c r="H752" s="8">
        <v>8248438488</v>
      </c>
      <c r="I752" s="10" t="s">
        <v>30</v>
      </c>
      <c r="J752" s="8" t="s">
        <v>181</v>
      </c>
      <c r="K752" s="8" t="s">
        <v>27</v>
      </c>
      <c r="L752" s="8" t="s">
        <v>28</v>
      </c>
      <c r="M752" s="25" t="s">
        <v>588</v>
      </c>
      <c r="N752" s="6" t="s">
        <v>138</v>
      </c>
      <c r="O752" s="49">
        <v>550</v>
      </c>
      <c r="P752" s="2" t="s">
        <v>965</v>
      </c>
      <c r="Q752" s="12" t="str">
        <f t="shared" si="156"/>
        <v>23</v>
      </c>
      <c r="R752" s="12" t="str">
        <f t="shared" si="157"/>
        <v>05</v>
      </c>
      <c r="S752" s="6" t="s">
        <v>129</v>
      </c>
      <c r="T752" s="1" t="s">
        <v>130</v>
      </c>
      <c r="U752" s="6" t="s">
        <v>142</v>
      </c>
      <c r="V752" s="1" t="s">
        <v>143</v>
      </c>
      <c r="W752" s="1" t="s">
        <v>133</v>
      </c>
      <c r="X752" s="5">
        <v>46231</v>
      </c>
      <c r="Y752" s="1">
        <f t="shared" si="158"/>
        <v>97</v>
      </c>
      <c r="Z752" s="5">
        <v>46231</v>
      </c>
      <c r="AA752" s="3"/>
      <c r="AB752" s="3"/>
      <c r="AD752" s="133" t="str">
        <f t="shared" si="152"/>
        <v>Closed In July</v>
      </c>
    </row>
    <row r="753" spans="1:30" hidden="1">
      <c r="A753" s="9">
        <v>46134</v>
      </c>
      <c r="B753" s="1">
        <v>2026</v>
      </c>
      <c r="C753" s="8" t="s">
        <v>26</v>
      </c>
      <c r="D753" s="11" t="s">
        <v>179</v>
      </c>
      <c r="E753" s="1"/>
      <c r="F753" s="1" t="s">
        <v>19</v>
      </c>
      <c r="G753" s="8" t="s">
        <v>180</v>
      </c>
      <c r="H753" s="8">
        <v>8248438488</v>
      </c>
      <c r="I753" s="10" t="s">
        <v>30</v>
      </c>
      <c r="J753" s="8" t="s">
        <v>181</v>
      </c>
      <c r="K753" s="8" t="s">
        <v>27</v>
      </c>
      <c r="L753" s="8" t="s">
        <v>28</v>
      </c>
      <c r="M753" s="25" t="s">
        <v>588</v>
      </c>
      <c r="N753" s="6" t="s">
        <v>138</v>
      </c>
      <c r="O753" s="49">
        <v>550</v>
      </c>
      <c r="P753" s="2" t="s">
        <v>966</v>
      </c>
      <c r="Q753" s="12" t="str">
        <f t="shared" si="156"/>
        <v>23</v>
      </c>
      <c r="R753" s="12" t="str">
        <f t="shared" si="157"/>
        <v>05</v>
      </c>
      <c r="S753" s="6" t="s">
        <v>129</v>
      </c>
      <c r="T753" s="1" t="s">
        <v>130</v>
      </c>
      <c r="U753" s="6" t="s">
        <v>142</v>
      </c>
      <c r="V753" s="1" t="s">
        <v>143</v>
      </c>
      <c r="W753" s="1" t="s">
        <v>133</v>
      </c>
      <c r="X753" s="5">
        <v>46231</v>
      </c>
      <c r="Y753" s="1">
        <f t="shared" si="158"/>
        <v>97</v>
      </c>
      <c r="Z753" s="5">
        <v>46231</v>
      </c>
      <c r="AA753" s="3"/>
      <c r="AB753" s="3"/>
      <c r="AD753" s="133" t="str">
        <f t="shared" si="152"/>
        <v>Closed In July</v>
      </c>
    </row>
    <row r="754" spans="1:30" hidden="1">
      <c r="A754" s="9">
        <v>46134</v>
      </c>
      <c r="B754" s="1">
        <v>2026</v>
      </c>
      <c r="C754" s="8" t="s">
        <v>26</v>
      </c>
      <c r="D754" s="11" t="s">
        <v>179</v>
      </c>
      <c r="E754" s="1"/>
      <c r="F754" s="1" t="s">
        <v>19</v>
      </c>
      <c r="G754" s="8" t="s">
        <v>180</v>
      </c>
      <c r="H754" s="8">
        <v>8248438488</v>
      </c>
      <c r="I754" s="10" t="s">
        <v>30</v>
      </c>
      <c r="J754" s="8" t="s">
        <v>181</v>
      </c>
      <c r="K754" s="8" t="s">
        <v>27</v>
      </c>
      <c r="L754" s="8" t="s">
        <v>28</v>
      </c>
      <c r="M754" s="25" t="s">
        <v>588</v>
      </c>
      <c r="N754" s="6" t="s">
        <v>138</v>
      </c>
      <c r="O754" s="49">
        <v>550</v>
      </c>
      <c r="P754" s="2" t="s">
        <v>967</v>
      </c>
      <c r="Q754" s="12" t="str">
        <f t="shared" si="156"/>
        <v>23</v>
      </c>
      <c r="R754" s="12" t="str">
        <f t="shared" si="157"/>
        <v>05</v>
      </c>
      <c r="S754" s="6" t="s">
        <v>129</v>
      </c>
      <c r="T754" s="1" t="s">
        <v>130</v>
      </c>
      <c r="U754" s="6" t="s">
        <v>142</v>
      </c>
      <c r="V754" s="1" t="s">
        <v>143</v>
      </c>
      <c r="W754" s="1" t="s">
        <v>133</v>
      </c>
      <c r="X754" s="5">
        <v>46231</v>
      </c>
      <c r="Y754" s="1">
        <f t="shared" si="158"/>
        <v>97</v>
      </c>
      <c r="Z754" s="5">
        <v>46231</v>
      </c>
      <c r="AA754" s="3"/>
      <c r="AB754" s="3"/>
      <c r="AD754" s="133" t="str">
        <f t="shared" si="152"/>
        <v>Closed In July</v>
      </c>
    </row>
    <row r="755" spans="1:30" hidden="1">
      <c r="A755" s="9">
        <v>46134</v>
      </c>
      <c r="B755" s="1">
        <v>2026</v>
      </c>
      <c r="C755" s="8" t="s">
        <v>26</v>
      </c>
      <c r="D755" s="11" t="s">
        <v>179</v>
      </c>
      <c r="E755" s="1"/>
      <c r="F755" s="1" t="s">
        <v>19</v>
      </c>
      <c r="G755" s="8" t="s">
        <v>180</v>
      </c>
      <c r="H755" s="8">
        <v>8248438488</v>
      </c>
      <c r="I755" s="10" t="s">
        <v>30</v>
      </c>
      <c r="J755" s="8" t="s">
        <v>181</v>
      </c>
      <c r="K755" s="8" t="s">
        <v>27</v>
      </c>
      <c r="L755" s="8" t="s">
        <v>28</v>
      </c>
      <c r="M755" s="25" t="s">
        <v>588</v>
      </c>
      <c r="N755" s="6" t="s">
        <v>138</v>
      </c>
      <c r="O755" s="49">
        <v>550</v>
      </c>
      <c r="P755" s="2" t="s">
        <v>968</v>
      </c>
      <c r="Q755" s="12" t="str">
        <f t="shared" si="156"/>
        <v>23</v>
      </c>
      <c r="R755" s="12" t="str">
        <f t="shared" si="157"/>
        <v>05</v>
      </c>
      <c r="S755" s="6" t="s">
        <v>129</v>
      </c>
      <c r="T755" s="1" t="s">
        <v>130</v>
      </c>
      <c r="U755" s="6" t="s">
        <v>142</v>
      </c>
      <c r="V755" s="1" t="s">
        <v>143</v>
      </c>
      <c r="W755" s="1" t="s">
        <v>133</v>
      </c>
      <c r="X755" s="5">
        <v>46231</v>
      </c>
      <c r="Y755" s="1">
        <f t="shared" si="158"/>
        <v>97</v>
      </c>
      <c r="Z755" s="5">
        <v>46231</v>
      </c>
      <c r="AA755" s="3"/>
      <c r="AB755" s="3"/>
      <c r="AD755" s="133" t="str">
        <f t="shared" si="152"/>
        <v>Closed In July</v>
      </c>
    </row>
    <row r="756" spans="1:30" hidden="1">
      <c r="A756" s="9">
        <v>46134</v>
      </c>
      <c r="B756" s="1">
        <v>2026</v>
      </c>
      <c r="C756" s="8" t="s">
        <v>26</v>
      </c>
      <c r="D756" s="11" t="s">
        <v>179</v>
      </c>
      <c r="E756" s="1"/>
      <c r="F756" s="1" t="s">
        <v>19</v>
      </c>
      <c r="G756" s="8" t="s">
        <v>180</v>
      </c>
      <c r="H756" s="8">
        <v>8248438488</v>
      </c>
      <c r="I756" s="10" t="s">
        <v>30</v>
      </c>
      <c r="J756" s="8" t="s">
        <v>181</v>
      </c>
      <c r="K756" s="8" t="s">
        <v>27</v>
      </c>
      <c r="L756" s="8" t="s">
        <v>28</v>
      </c>
      <c r="M756" s="25" t="s">
        <v>588</v>
      </c>
      <c r="N756" s="6" t="s">
        <v>138</v>
      </c>
      <c r="O756" s="49">
        <v>550</v>
      </c>
      <c r="P756" s="2" t="s">
        <v>969</v>
      </c>
      <c r="Q756" s="12" t="str">
        <f t="shared" si="156"/>
        <v>23</v>
      </c>
      <c r="R756" s="12" t="str">
        <f t="shared" si="157"/>
        <v>05</v>
      </c>
      <c r="S756" s="6" t="s">
        <v>129</v>
      </c>
      <c r="T756" s="1" t="s">
        <v>130</v>
      </c>
      <c r="U756" s="6" t="s">
        <v>142</v>
      </c>
      <c r="V756" s="1" t="s">
        <v>143</v>
      </c>
      <c r="W756" s="1" t="s">
        <v>133</v>
      </c>
      <c r="X756" s="5">
        <v>46231</v>
      </c>
      <c r="Y756" s="1">
        <f t="shared" si="158"/>
        <v>97</v>
      </c>
      <c r="Z756" s="5">
        <v>46231</v>
      </c>
      <c r="AA756" s="3"/>
      <c r="AB756" s="3"/>
      <c r="AD756" s="133" t="str">
        <f t="shared" si="152"/>
        <v>Closed In July</v>
      </c>
    </row>
    <row r="757" spans="1:30" hidden="1">
      <c r="A757" s="9">
        <v>46134</v>
      </c>
      <c r="B757" s="1">
        <v>2026</v>
      </c>
      <c r="C757" s="8" t="s">
        <v>26</v>
      </c>
      <c r="D757" s="11" t="s">
        <v>179</v>
      </c>
      <c r="E757" s="1"/>
      <c r="F757" s="1" t="s">
        <v>19</v>
      </c>
      <c r="G757" s="8" t="s">
        <v>180</v>
      </c>
      <c r="H757" s="8">
        <v>8248438488</v>
      </c>
      <c r="I757" s="10" t="s">
        <v>30</v>
      </c>
      <c r="J757" s="8" t="s">
        <v>181</v>
      </c>
      <c r="K757" s="8" t="s">
        <v>27</v>
      </c>
      <c r="L757" s="8" t="s">
        <v>28</v>
      </c>
      <c r="M757" s="2" t="s">
        <v>146</v>
      </c>
      <c r="N757" s="6" t="s">
        <v>138</v>
      </c>
      <c r="O757" s="49">
        <v>550</v>
      </c>
      <c r="P757" s="2" t="s">
        <v>970</v>
      </c>
      <c r="Q757" s="12" t="str">
        <f t="shared" si="156"/>
        <v>23</v>
      </c>
      <c r="R757" s="12" t="str">
        <f t="shared" si="157"/>
        <v>05</v>
      </c>
      <c r="S757" s="6" t="s">
        <v>129</v>
      </c>
      <c r="T757" s="1" t="s">
        <v>130</v>
      </c>
      <c r="U757" s="6" t="s">
        <v>148</v>
      </c>
      <c r="V757" s="1" t="s">
        <v>143</v>
      </c>
      <c r="W757" s="1" t="s">
        <v>133</v>
      </c>
      <c r="X757" s="5">
        <v>46231</v>
      </c>
      <c r="Y757" s="1">
        <f t="shared" si="158"/>
        <v>97</v>
      </c>
      <c r="Z757" s="5">
        <v>46231</v>
      </c>
      <c r="AA757" s="3"/>
      <c r="AB757" s="3"/>
      <c r="AD757" s="133" t="str">
        <f t="shared" si="152"/>
        <v>Closed In July</v>
      </c>
    </row>
    <row r="758" spans="1:30" hidden="1">
      <c r="A758" s="9">
        <v>46134</v>
      </c>
      <c r="B758" s="1">
        <v>2026</v>
      </c>
      <c r="C758" s="8" t="s">
        <v>26</v>
      </c>
      <c r="D758" s="11" t="s">
        <v>179</v>
      </c>
      <c r="E758" s="1"/>
      <c r="F758" s="1" t="s">
        <v>19</v>
      </c>
      <c r="G758" s="8" t="s">
        <v>180</v>
      </c>
      <c r="H758" s="8">
        <v>8248438488</v>
      </c>
      <c r="I758" s="10" t="s">
        <v>30</v>
      </c>
      <c r="J758" s="8" t="s">
        <v>181</v>
      </c>
      <c r="K758" s="8" t="s">
        <v>27</v>
      </c>
      <c r="L758" s="8" t="s">
        <v>28</v>
      </c>
      <c r="M758" s="25" t="s">
        <v>588</v>
      </c>
      <c r="N758" s="6" t="s">
        <v>138</v>
      </c>
      <c r="O758" s="49">
        <v>550</v>
      </c>
      <c r="P758" s="2" t="s">
        <v>971</v>
      </c>
      <c r="Q758" s="12" t="str">
        <f t="shared" si="156"/>
        <v>23</v>
      </c>
      <c r="R758" s="12" t="str">
        <f t="shared" si="157"/>
        <v>05</v>
      </c>
      <c r="S758" s="6" t="s">
        <v>129</v>
      </c>
      <c r="T758" s="1" t="s">
        <v>130</v>
      </c>
      <c r="U758" s="6" t="s">
        <v>142</v>
      </c>
      <c r="V758" s="1" t="s">
        <v>143</v>
      </c>
      <c r="W758" s="1" t="s">
        <v>133</v>
      </c>
      <c r="X758" s="5">
        <v>46231</v>
      </c>
      <c r="Y758" s="1">
        <f t="shared" si="158"/>
        <v>97</v>
      </c>
      <c r="Z758" s="5">
        <v>46231</v>
      </c>
      <c r="AA758" s="3"/>
      <c r="AB758" s="3"/>
      <c r="AD758" s="133" t="str">
        <f t="shared" si="152"/>
        <v>Closed In July</v>
      </c>
    </row>
    <row r="759" spans="1:30" hidden="1">
      <c r="A759" s="9">
        <v>46134</v>
      </c>
      <c r="B759" s="1">
        <v>2026</v>
      </c>
      <c r="C759" s="8" t="s">
        <v>26</v>
      </c>
      <c r="D759" s="11" t="s">
        <v>179</v>
      </c>
      <c r="E759" s="1"/>
      <c r="F759" s="1" t="s">
        <v>19</v>
      </c>
      <c r="G759" s="8" t="s">
        <v>180</v>
      </c>
      <c r="H759" s="8">
        <v>8248438488</v>
      </c>
      <c r="I759" s="10" t="s">
        <v>30</v>
      </c>
      <c r="J759" s="8" t="s">
        <v>181</v>
      </c>
      <c r="K759" s="8" t="s">
        <v>27</v>
      </c>
      <c r="L759" s="8" t="s">
        <v>28</v>
      </c>
      <c r="M759" s="25" t="s">
        <v>126</v>
      </c>
      <c r="N759" s="1" t="s">
        <v>127</v>
      </c>
      <c r="O759" s="49">
        <v>550</v>
      </c>
      <c r="P759" s="2" t="s">
        <v>972</v>
      </c>
      <c r="Q759" s="12" t="str">
        <f t="shared" si="156"/>
        <v>23</v>
      </c>
      <c r="R759" s="12" t="str">
        <f t="shared" si="157"/>
        <v>05</v>
      </c>
      <c r="S759" s="6" t="s">
        <v>129</v>
      </c>
      <c r="T759" s="1" t="s">
        <v>130</v>
      </c>
      <c r="U759" s="6" t="s">
        <v>145</v>
      </c>
      <c r="V759" s="6" t="s">
        <v>132</v>
      </c>
      <c r="W759" s="1" t="s">
        <v>133</v>
      </c>
      <c r="X759" s="5">
        <v>46231</v>
      </c>
      <c r="Y759" s="1">
        <f t="shared" si="158"/>
        <v>97</v>
      </c>
      <c r="Z759" s="5">
        <v>46231</v>
      </c>
      <c r="AA759" s="3"/>
      <c r="AB759" s="3"/>
      <c r="AD759" s="133" t="str">
        <f t="shared" si="152"/>
        <v>Closed In July</v>
      </c>
    </row>
    <row r="760" spans="1:30" hidden="1">
      <c r="A760" s="9">
        <v>46134</v>
      </c>
      <c r="B760" s="1">
        <v>2026</v>
      </c>
      <c r="C760" s="8" t="s">
        <v>26</v>
      </c>
      <c r="D760" s="11" t="s">
        <v>179</v>
      </c>
      <c r="E760" s="1"/>
      <c r="F760" s="1" t="s">
        <v>19</v>
      </c>
      <c r="G760" s="8" t="s">
        <v>180</v>
      </c>
      <c r="H760" s="8">
        <v>8248438488</v>
      </c>
      <c r="I760" s="10" t="s">
        <v>30</v>
      </c>
      <c r="J760" s="8" t="s">
        <v>181</v>
      </c>
      <c r="K760" s="8" t="s">
        <v>27</v>
      </c>
      <c r="L760" s="8" t="s">
        <v>28</v>
      </c>
      <c r="M760" s="2" t="s">
        <v>146</v>
      </c>
      <c r="N760" s="6" t="s">
        <v>138</v>
      </c>
      <c r="O760" s="49">
        <v>550</v>
      </c>
      <c r="P760" s="2" t="s">
        <v>973</v>
      </c>
      <c r="Q760" s="12" t="str">
        <f t="shared" si="156"/>
        <v>23</v>
      </c>
      <c r="R760" s="12" t="str">
        <f t="shared" si="157"/>
        <v>05</v>
      </c>
      <c r="S760" s="6" t="s">
        <v>129</v>
      </c>
      <c r="T760" s="1" t="s">
        <v>130</v>
      </c>
      <c r="U760" s="6" t="s">
        <v>148</v>
      </c>
      <c r="V760" s="1" t="s">
        <v>143</v>
      </c>
      <c r="W760" s="1" t="s">
        <v>133</v>
      </c>
      <c r="X760" s="5">
        <v>46231</v>
      </c>
      <c r="Y760" s="1">
        <f t="shared" si="158"/>
        <v>97</v>
      </c>
      <c r="Z760" s="5">
        <v>46231</v>
      </c>
      <c r="AA760" s="3"/>
      <c r="AB760" s="3"/>
      <c r="AD760" s="133" t="str">
        <f t="shared" si="152"/>
        <v>Closed In July</v>
      </c>
    </row>
    <row r="761" spans="1:30" hidden="1">
      <c r="A761" s="9">
        <v>46134</v>
      </c>
      <c r="B761" s="1">
        <v>2026</v>
      </c>
      <c r="C761" s="8" t="s">
        <v>26</v>
      </c>
      <c r="D761" s="11" t="s">
        <v>179</v>
      </c>
      <c r="E761" s="1"/>
      <c r="F761" s="1" t="s">
        <v>19</v>
      </c>
      <c r="G761" s="8" t="s">
        <v>180</v>
      </c>
      <c r="H761" s="8">
        <v>8248438488</v>
      </c>
      <c r="I761" s="10" t="s">
        <v>30</v>
      </c>
      <c r="J761" s="8" t="s">
        <v>181</v>
      </c>
      <c r="K761" s="8" t="s">
        <v>27</v>
      </c>
      <c r="L761" s="8" t="s">
        <v>28</v>
      </c>
      <c r="M761" s="2" t="s">
        <v>146</v>
      </c>
      <c r="N761" s="6" t="s">
        <v>138</v>
      </c>
      <c r="O761" s="49">
        <v>550</v>
      </c>
      <c r="P761" s="2" t="s">
        <v>974</v>
      </c>
      <c r="Q761" s="12" t="str">
        <f t="shared" si="156"/>
        <v>23</v>
      </c>
      <c r="R761" s="12" t="str">
        <f t="shared" si="157"/>
        <v>05</v>
      </c>
      <c r="S761" s="6" t="s">
        <v>129</v>
      </c>
      <c r="T761" s="1" t="s">
        <v>130</v>
      </c>
      <c r="U761" s="6" t="s">
        <v>148</v>
      </c>
      <c r="V761" s="1" t="s">
        <v>143</v>
      </c>
      <c r="W761" s="1" t="s">
        <v>133</v>
      </c>
      <c r="X761" s="5">
        <v>46231</v>
      </c>
      <c r="Y761" s="1">
        <f t="shared" si="158"/>
        <v>97</v>
      </c>
      <c r="Z761" s="5">
        <v>46231</v>
      </c>
      <c r="AA761" s="3"/>
      <c r="AB761" s="3"/>
      <c r="AD761" s="133" t="str">
        <f t="shared" si="152"/>
        <v>Closed In July</v>
      </c>
    </row>
    <row r="762" spans="1:30" hidden="1">
      <c r="A762" s="9">
        <v>46134</v>
      </c>
      <c r="B762" s="1">
        <v>2026</v>
      </c>
      <c r="C762" s="8" t="s">
        <v>26</v>
      </c>
      <c r="D762" s="11" t="s">
        <v>179</v>
      </c>
      <c r="E762" s="1"/>
      <c r="F762" s="1" t="s">
        <v>19</v>
      </c>
      <c r="G762" s="8" t="s">
        <v>180</v>
      </c>
      <c r="H762" s="8">
        <v>8248438488</v>
      </c>
      <c r="I762" s="10" t="s">
        <v>30</v>
      </c>
      <c r="J762" s="8" t="s">
        <v>181</v>
      </c>
      <c r="K762" s="8" t="s">
        <v>27</v>
      </c>
      <c r="L762" s="8" t="s">
        <v>28</v>
      </c>
      <c r="M762" s="2" t="s">
        <v>146</v>
      </c>
      <c r="N762" s="6" t="s">
        <v>138</v>
      </c>
      <c r="O762" s="49">
        <v>550</v>
      </c>
      <c r="P762" s="2" t="s">
        <v>975</v>
      </c>
      <c r="Q762" s="12" t="str">
        <f t="shared" si="156"/>
        <v>23</v>
      </c>
      <c r="R762" s="12" t="str">
        <f t="shared" si="157"/>
        <v>05</v>
      </c>
      <c r="S762" s="6" t="s">
        <v>129</v>
      </c>
      <c r="T762" s="1" t="s">
        <v>130</v>
      </c>
      <c r="U762" s="6" t="s">
        <v>148</v>
      </c>
      <c r="V762" s="1" t="s">
        <v>143</v>
      </c>
      <c r="W762" s="1" t="s">
        <v>133</v>
      </c>
      <c r="X762" s="5">
        <v>46231</v>
      </c>
      <c r="Y762" s="1">
        <f t="shared" si="158"/>
        <v>97</v>
      </c>
      <c r="Z762" s="5">
        <v>46231</v>
      </c>
      <c r="AA762" s="3"/>
      <c r="AB762" s="3"/>
      <c r="AD762" s="133" t="str">
        <f t="shared" si="152"/>
        <v>Closed In July</v>
      </c>
    </row>
    <row r="763" spans="1:30" hidden="1">
      <c r="A763" s="9">
        <v>46134</v>
      </c>
      <c r="B763" s="1">
        <v>2026</v>
      </c>
      <c r="C763" s="8" t="s">
        <v>26</v>
      </c>
      <c r="D763" s="11" t="s">
        <v>179</v>
      </c>
      <c r="E763" s="1"/>
      <c r="F763" s="1" t="s">
        <v>19</v>
      </c>
      <c r="G763" s="8" t="s">
        <v>180</v>
      </c>
      <c r="H763" s="8">
        <v>8248438488</v>
      </c>
      <c r="I763" s="10" t="s">
        <v>30</v>
      </c>
      <c r="J763" s="8" t="s">
        <v>181</v>
      </c>
      <c r="K763" s="8" t="s">
        <v>27</v>
      </c>
      <c r="L763" s="8" t="s">
        <v>28</v>
      </c>
      <c r="M763" s="25" t="s">
        <v>588</v>
      </c>
      <c r="N763" s="6" t="s">
        <v>138</v>
      </c>
      <c r="O763" s="49">
        <v>550</v>
      </c>
      <c r="P763" s="2" t="s">
        <v>976</v>
      </c>
      <c r="Q763" s="12" t="str">
        <f t="shared" si="156"/>
        <v>23</v>
      </c>
      <c r="R763" s="12" t="str">
        <f t="shared" si="157"/>
        <v>05</v>
      </c>
      <c r="S763" s="6" t="s">
        <v>129</v>
      </c>
      <c r="T763" s="1" t="s">
        <v>130</v>
      </c>
      <c r="U763" s="6" t="s">
        <v>142</v>
      </c>
      <c r="V763" s="1" t="s">
        <v>143</v>
      </c>
      <c r="W763" s="1" t="s">
        <v>133</v>
      </c>
      <c r="X763" s="5">
        <v>46231</v>
      </c>
      <c r="Y763" s="1">
        <f t="shared" si="158"/>
        <v>97</v>
      </c>
      <c r="Z763" s="5">
        <v>46231</v>
      </c>
      <c r="AA763" s="3"/>
      <c r="AB763" s="3"/>
      <c r="AD763" s="133" t="str">
        <f t="shared" si="152"/>
        <v>Closed In July</v>
      </c>
    </row>
    <row r="764" spans="1:30" hidden="1">
      <c r="A764" s="9">
        <v>46134</v>
      </c>
      <c r="B764" s="1">
        <v>2026</v>
      </c>
      <c r="C764" s="8" t="s">
        <v>26</v>
      </c>
      <c r="D764" s="11" t="s">
        <v>179</v>
      </c>
      <c r="E764" s="1"/>
      <c r="F764" s="1" t="s">
        <v>19</v>
      </c>
      <c r="G764" s="8" t="s">
        <v>180</v>
      </c>
      <c r="H764" s="8">
        <v>8248438488</v>
      </c>
      <c r="I764" s="10" t="s">
        <v>30</v>
      </c>
      <c r="J764" s="8" t="s">
        <v>181</v>
      </c>
      <c r="K764" s="8" t="s">
        <v>27</v>
      </c>
      <c r="L764" s="8" t="s">
        <v>28</v>
      </c>
      <c r="M764" s="25" t="s">
        <v>588</v>
      </c>
      <c r="N764" s="6" t="s">
        <v>138</v>
      </c>
      <c r="O764" s="49">
        <v>550</v>
      </c>
      <c r="P764" s="2" t="s">
        <v>977</v>
      </c>
      <c r="Q764" s="12" t="str">
        <f t="shared" si="156"/>
        <v>23</v>
      </c>
      <c r="R764" s="12" t="str">
        <f t="shared" si="157"/>
        <v>05</v>
      </c>
      <c r="S764" s="6" t="s">
        <v>129</v>
      </c>
      <c r="T764" s="1" t="s">
        <v>130</v>
      </c>
      <c r="U764" s="6" t="s">
        <v>142</v>
      </c>
      <c r="V764" s="1" t="s">
        <v>143</v>
      </c>
      <c r="W764" s="1" t="s">
        <v>133</v>
      </c>
      <c r="X764" s="5">
        <v>46231</v>
      </c>
      <c r="Y764" s="1">
        <f t="shared" si="158"/>
        <v>97</v>
      </c>
      <c r="Z764" s="5">
        <v>46231</v>
      </c>
      <c r="AA764" s="3"/>
      <c r="AB764" s="3"/>
      <c r="AD764" s="133" t="str">
        <f t="shared" si="152"/>
        <v>Closed In July</v>
      </c>
    </row>
    <row r="765" spans="1:30" hidden="1">
      <c r="A765" s="9">
        <v>46134</v>
      </c>
      <c r="B765" s="1">
        <v>2026</v>
      </c>
      <c r="C765" s="8" t="s">
        <v>26</v>
      </c>
      <c r="D765" s="11" t="s">
        <v>179</v>
      </c>
      <c r="E765" s="1"/>
      <c r="F765" s="1" t="s">
        <v>19</v>
      </c>
      <c r="G765" s="8" t="s">
        <v>180</v>
      </c>
      <c r="H765" s="8">
        <v>8248438488</v>
      </c>
      <c r="I765" s="10" t="s">
        <v>30</v>
      </c>
      <c r="J765" s="8" t="s">
        <v>181</v>
      </c>
      <c r="K765" s="8" t="s">
        <v>27</v>
      </c>
      <c r="L765" s="8" t="s">
        <v>28</v>
      </c>
      <c r="M765" s="25" t="s">
        <v>588</v>
      </c>
      <c r="N765" s="6" t="s">
        <v>138</v>
      </c>
      <c r="O765" s="49">
        <v>550</v>
      </c>
      <c r="P765" s="2" t="s">
        <v>978</v>
      </c>
      <c r="Q765" s="12" t="str">
        <f t="shared" si="156"/>
        <v>23</v>
      </c>
      <c r="R765" s="12" t="str">
        <f t="shared" si="157"/>
        <v>05</v>
      </c>
      <c r="S765" s="6" t="s">
        <v>129</v>
      </c>
      <c r="T765" s="1" t="s">
        <v>130</v>
      </c>
      <c r="U765" s="6" t="s">
        <v>142</v>
      </c>
      <c r="V765" s="1" t="s">
        <v>143</v>
      </c>
      <c r="W765" s="1" t="s">
        <v>133</v>
      </c>
      <c r="X765" s="5">
        <v>46231</v>
      </c>
      <c r="Y765" s="1">
        <f t="shared" si="158"/>
        <v>97</v>
      </c>
      <c r="Z765" s="5">
        <v>46231</v>
      </c>
      <c r="AA765" s="3"/>
      <c r="AB765" s="3"/>
      <c r="AD765" s="133" t="str">
        <f t="shared" si="152"/>
        <v>Closed In July</v>
      </c>
    </row>
    <row r="766" spans="1:30" hidden="1">
      <c r="A766" s="9">
        <v>46134</v>
      </c>
      <c r="B766" s="1">
        <v>2026</v>
      </c>
      <c r="C766" s="8" t="s">
        <v>26</v>
      </c>
      <c r="D766" s="11" t="s">
        <v>179</v>
      </c>
      <c r="E766" s="1"/>
      <c r="F766" s="1" t="s">
        <v>19</v>
      </c>
      <c r="G766" s="8" t="s">
        <v>180</v>
      </c>
      <c r="H766" s="8">
        <v>8248438488</v>
      </c>
      <c r="I766" s="10" t="s">
        <v>30</v>
      </c>
      <c r="J766" s="8" t="s">
        <v>181</v>
      </c>
      <c r="K766" s="8" t="s">
        <v>27</v>
      </c>
      <c r="L766" s="8" t="s">
        <v>28</v>
      </c>
      <c r="M766" s="25" t="s">
        <v>588</v>
      </c>
      <c r="N766" s="6" t="s">
        <v>138</v>
      </c>
      <c r="O766" s="49">
        <v>550</v>
      </c>
      <c r="P766" s="2" t="s">
        <v>979</v>
      </c>
      <c r="Q766" s="12" t="str">
        <f t="shared" si="156"/>
        <v>23</v>
      </c>
      <c r="R766" s="12" t="str">
        <f t="shared" si="157"/>
        <v>05</v>
      </c>
      <c r="S766" s="6" t="s">
        <v>129</v>
      </c>
      <c r="T766" s="1" t="s">
        <v>130</v>
      </c>
      <c r="U766" s="6" t="s">
        <v>142</v>
      </c>
      <c r="V766" s="1" t="s">
        <v>143</v>
      </c>
      <c r="W766" s="1" t="s">
        <v>133</v>
      </c>
      <c r="X766" s="5">
        <v>46231</v>
      </c>
      <c r="Y766" s="1">
        <f t="shared" si="158"/>
        <v>97</v>
      </c>
      <c r="Z766" s="5">
        <v>46231</v>
      </c>
      <c r="AA766" s="3"/>
      <c r="AB766" s="3"/>
      <c r="AD766" s="133" t="str">
        <f t="shared" si="152"/>
        <v>Closed In July</v>
      </c>
    </row>
    <row r="767" spans="1:30" hidden="1">
      <c r="A767" s="9">
        <v>46134</v>
      </c>
      <c r="B767" s="1">
        <v>2026</v>
      </c>
      <c r="C767" s="8" t="s">
        <v>26</v>
      </c>
      <c r="D767" s="11" t="s">
        <v>179</v>
      </c>
      <c r="E767" s="1"/>
      <c r="F767" s="1" t="s">
        <v>19</v>
      </c>
      <c r="G767" s="8" t="s">
        <v>180</v>
      </c>
      <c r="H767" s="8">
        <v>8248438488</v>
      </c>
      <c r="I767" s="10" t="s">
        <v>30</v>
      </c>
      <c r="J767" s="8" t="s">
        <v>181</v>
      </c>
      <c r="K767" s="8" t="s">
        <v>27</v>
      </c>
      <c r="L767" s="8" t="s">
        <v>28</v>
      </c>
      <c r="M767" s="25" t="s">
        <v>308</v>
      </c>
      <c r="N767" s="1" t="s">
        <v>127</v>
      </c>
      <c r="O767" s="49">
        <v>550</v>
      </c>
      <c r="P767" s="2" t="s">
        <v>980</v>
      </c>
      <c r="Q767" s="12" t="str">
        <f t="shared" si="156"/>
        <v>23</v>
      </c>
      <c r="R767" s="12" t="str">
        <f t="shared" si="157"/>
        <v>05</v>
      </c>
      <c r="S767" s="6" t="s">
        <v>129</v>
      </c>
      <c r="T767" s="1" t="s">
        <v>130</v>
      </c>
      <c r="U767" s="6" t="s">
        <v>310</v>
      </c>
      <c r="V767" s="6" t="s">
        <v>132</v>
      </c>
      <c r="W767" s="1" t="s">
        <v>133</v>
      </c>
      <c r="X767" s="5">
        <v>46231</v>
      </c>
      <c r="Y767" s="1">
        <f t="shared" si="158"/>
        <v>97</v>
      </c>
      <c r="Z767" s="5">
        <v>46231</v>
      </c>
      <c r="AA767" s="3"/>
      <c r="AB767" s="3"/>
      <c r="AD767" s="133" t="str">
        <f t="shared" si="152"/>
        <v>Closed In July</v>
      </c>
    </row>
    <row r="768" spans="1:30" hidden="1">
      <c r="A768" s="9">
        <v>46134</v>
      </c>
      <c r="B768" s="1">
        <v>2026</v>
      </c>
      <c r="C768" s="8" t="s">
        <v>26</v>
      </c>
      <c r="D768" s="11" t="s">
        <v>179</v>
      </c>
      <c r="E768" s="1"/>
      <c r="F768" s="1" t="s">
        <v>19</v>
      </c>
      <c r="G768" s="8" t="s">
        <v>180</v>
      </c>
      <c r="H768" s="8">
        <v>8248438488</v>
      </c>
      <c r="I768" s="10" t="s">
        <v>30</v>
      </c>
      <c r="J768" s="8" t="s">
        <v>181</v>
      </c>
      <c r="K768" s="8" t="s">
        <v>27</v>
      </c>
      <c r="L768" s="8" t="s">
        <v>28</v>
      </c>
      <c r="M768" s="2" t="s">
        <v>146</v>
      </c>
      <c r="N768" s="6" t="s">
        <v>138</v>
      </c>
      <c r="O768" s="49">
        <v>550</v>
      </c>
      <c r="P768" s="2" t="s">
        <v>981</v>
      </c>
      <c r="Q768" s="12" t="str">
        <f t="shared" si="156"/>
        <v>23</v>
      </c>
      <c r="R768" s="12" t="str">
        <f t="shared" si="157"/>
        <v>05</v>
      </c>
      <c r="S768" s="6" t="s">
        <v>129</v>
      </c>
      <c r="T768" s="1" t="s">
        <v>130</v>
      </c>
      <c r="U768" s="6" t="s">
        <v>148</v>
      </c>
      <c r="V768" s="1" t="s">
        <v>143</v>
      </c>
      <c r="W768" s="1" t="s">
        <v>133</v>
      </c>
      <c r="X768" s="5">
        <v>46231</v>
      </c>
      <c r="Y768" s="1">
        <f t="shared" si="158"/>
        <v>97</v>
      </c>
      <c r="Z768" s="5">
        <v>46231</v>
      </c>
      <c r="AA768" s="3"/>
      <c r="AB768" s="3"/>
      <c r="AD768" s="133" t="str">
        <f t="shared" si="152"/>
        <v>Closed In July</v>
      </c>
    </row>
    <row r="769" spans="1:30" hidden="1">
      <c r="A769" s="9">
        <v>46134</v>
      </c>
      <c r="B769" s="1">
        <v>2026</v>
      </c>
      <c r="C769" s="8" t="s">
        <v>26</v>
      </c>
      <c r="D769" s="11" t="s">
        <v>179</v>
      </c>
      <c r="E769" s="1"/>
      <c r="F769" s="1" t="s">
        <v>19</v>
      </c>
      <c r="G769" s="8" t="s">
        <v>180</v>
      </c>
      <c r="H769" s="8">
        <v>8248438488</v>
      </c>
      <c r="I769" s="10" t="s">
        <v>30</v>
      </c>
      <c r="J769" s="8" t="s">
        <v>181</v>
      </c>
      <c r="K769" s="8" t="s">
        <v>27</v>
      </c>
      <c r="L769" s="8" t="s">
        <v>28</v>
      </c>
      <c r="M769" s="25" t="s">
        <v>588</v>
      </c>
      <c r="N769" s="6" t="s">
        <v>138</v>
      </c>
      <c r="O769" s="49">
        <v>550</v>
      </c>
      <c r="P769" s="2" t="s">
        <v>982</v>
      </c>
      <c r="Q769" s="12" t="str">
        <f t="shared" si="156"/>
        <v>23</v>
      </c>
      <c r="R769" s="12" t="str">
        <f t="shared" si="157"/>
        <v>05</v>
      </c>
      <c r="S769" s="6" t="s">
        <v>129</v>
      </c>
      <c r="T769" s="1" t="s">
        <v>130</v>
      </c>
      <c r="U769" s="6" t="s">
        <v>142</v>
      </c>
      <c r="V769" s="1" t="s">
        <v>143</v>
      </c>
      <c r="W769" s="1" t="s">
        <v>133</v>
      </c>
      <c r="X769" s="5">
        <v>46231</v>
      </c>
      <c r="Y769" s="1">
        <f t="shared" si="158"/>
        <v>97</v>
      </c>
      <c r="Z769" s="5">
        <v>46231</v>
      </c>
      <c r="AA769" s="3"/>
      <c r="AB769" s="3"/>
      <c r="AD769" s="133" t="str">
        <f t="shared" si="152"/>
        <v>Closed In July</v>
      </c>
    </row>
    <row r="770" spans="1:30" hidden="1">
      <c r="A770" s="9">
        <v>46134</v>
      </c>
      <c r="B770" s="1">
        <v>2026</v>
      </c>
      <c r="C770" s="8" t="s">
        <v>26</v>
      </c>
      <c r="D770" s="11" t="s">
        <v>179</v>
      </c>
      <c r="E770" s="1"/>
      <c r="F770" s="1" t="s">
        <v>19</v>
      </c>
      <c r="G770" s="8" t="s">
        <v>180</v>
      </c>
      <c r="H770" s="8">
        <v>8248438488</v>
      </c>
      <c r="I770" s="10" t="s">
        <v>30</v>
      </c>
      <c r="J770" s="8" t="s">
        <v>181</v>
      </c>
      <c r="K770" s="8" t="s">
        <v>27</v>
      </c>
      <c r="L770" s="8" t="s">
        <v>28</v>
      </c>
      <c r="M770" s="2" t="s">
        <v>146</v>
      </c>
      <c r="N770" s="6" t="s">
        <v>138</v>
      </c>
      <c r="O770" s="49">
        <v>550</v>
      </c>
      <c r="P770" s="2" t="s">
        <v>983</v>
      </c>
      <c r="Q770" s="12" t="str">
        <f t="shared" si="156"/>
        <v>23</v>
      </c>
      <c r="R770" s="12" t="str">
        <f t="shared" si="157"/>
        <v>05</v>
      </c>
      <c r="S770" s="6" t="s">
        <v>129</v>
      </c>
      <c r="T770" s="1" t="s">
        <v>130</v>
      </c>
      <c r="U770" s="6" t="s">
        <v>148</v>
      </c>
      <c r="V770" s="1" t="s">
        <v>143</v>
      </c>
      <c r="W770" s="1" t="s">
        <v>133</v>
      </c>
      <c r="X770" s="5">
        <v>46231</v>
      </c>
      <c r="Y770" s="1">
        <f t="shared" si="158"/>
        <v>97</v>
      </c>
      <c r="Z770" s="5">
        <v>46231</v>
      </c>
      <c r="AA770" s="3"/>
      <c r="AB770" s="3"/>
      <c r="AD770" s="133" t="str">
        <f t="shared" si="152"/>
        <v>Closed In July</v>
      </c>
    </row>
    <row r="771" spans="1:30" hidden="1">
      <c r="A771" s="9">
        <v>46134</v>
      </c>
      <c r="B771" s="1">
        <v>2026</v>
      </c>
      <c r="C771" s="8" t="s">
        <v>26</v>
      </c>
      <c r="D771" s="11" t="s">
        <v>179</v>
      </c>
      <c r="E771" s="1"/>
      <c r="F771" s="1" t="s">
        <v>19</v>
      </c>
      <c r="G771" s="8" t="s">
        <v>180</v>
      </c>
      <c r="H771" s="8">
        <v>8248438488</v>
      </c>
      <c r="I771" s="10" t="s">
        <v>30</v>
      </c>
      <c r="J771" s="8" t="s">
        <v>181</v>
      </c>
      <c r="K771" s="8" t="s">
        <v>27</v>
      </c>
      <c r="L771" s="8" t="s">
        <v>28</v>
      </c>
      <c r="M771" s="25" t="s">
        <v>137</v>
      </c>
      <c r="N771" s="6" t="s">
        <v>138</v>
      </c>
      <c r="O771" s="49">
        <v>550</v>
      </c>
      <c r="P771" s="2" t="s">
        <v>984</v>
      </c>
      <c r="Q771" s="12" t="str">
        <f t="shared" si="156"/>
        <v>23</v>
      </c>
      <c r="R771" s="12" t="str">
        <f t="shared" si="157"/>
        <v>05</v>
      </c>
      <c r="S771" s="6" t="s">
        <v>129</v>
      </c>
      <c r="T771" s="1" t="s">
        <v>130</v>
      </c>
      <c r="U771" s="6" t="s">
        <v>142</v>
      </c>
      <c r="V771" s="1" t="s">
        <v>143</v>
      </c>
      <c r="W771" s="1" t="s">
        <v>133</v>
      </c>
      <c r="X771" s="5">
        <v>46231</v>
      </c>
      <c r="Y771" s="1">
        <f t="shared" si="158"/>
        <v>97</v>
      </c>
      <c r="Z771" s="5">
        <v>46231</v>
      </c>
      <c r="AA771" s="3"/>
      <c r="AB771" s="3"/>
      <c r="AD771" s="133" t="str">
        <f t="shared" ref="AD771:AD834" si="159">IF(AND(F771="Closed",X771&gt;=DATE(2026,7,1),X771&lt;=DATE(2026,7,31)),"Closed In July","Other")</f>
        <v>Closed In July</v>
      </c>
    </row>
    <row r="772" spans="1:30" hidden="1">
      <c r="A772" s="9">
        <v>46134</v>
      </c>
      <c r="B772" s="1">
        <v>2026</v>
      </c>
      <c r="C772" s="8" t="s">
        <v>26</v>
      </c>
      <c r="D772" s="11" t="s">
        <v>179</v>
      </c>
      <c r="E772" s="1"/>
      <c r="F772" s="1" t="s">
        <v>19</v>
      </c>
      <c r="G772" s="8" t="s">
        <v>180</v>
      </c>
      <c r="H772" s="8">
        <v>8248438488</v>
      </c>
      <c r="I772" s="10" t="s">
        <v>30</v>
      </c>
      <c r="J772" s="8" t="s">
        <v>181</v>
      </c>
      <c r="K772" s="8" t="s">
        <v>27</v>
      </c>
      <c r="L772" s="8" t="s">
        <v>28</v>
      </c>
      <c r="M772" s="25" t="s">
        <v>588</v>
      </c>
      <c r="N772" s="6" t="s">
        <v>138</v>
      </c>
      <c r="O772" s="49">
        <v>550</v>
      </c>
      <c r="P772" s="2" t="s">
        <v>985</v>
      </c>
      <c r="Q772" s="12" t="str">
        <f t="shared" si="156"/>
        <v>23</v>
      </c>
      <c r="R772" s="12" t="str">
        <f t="shared" si="157"/>
        <v>05</v>
      </c>
      <c r="S772" s="6" t="s">
        <v>129</v>
      </c>
      <c r="T772" s="1" t="s">
        <v>130</v>
      </c>
      <c r="U772" s="6" t="s">
        <v>142</v>
      </c>
      <c r="V772" s="1" t="s">
        <v>143</v>
      </c>
      <c r="W772" s="1" t="s">
        <v>133</v>
      </c>
      <c r="X772" s="5">
        <v>46231</v>
      </c>
      <c r="Y772" s="1">
        <f t="shared" si="158"/>
        <v>97</v>
      </c>
      <c r="Z772" s="5">
        <v>46231</v>
      </c>
      <c r="AA772" s="3"/>
      <c r="AB772" s="3"/>
      <c r="AD772" s="133" t="str">
        <f t="shared" si="159"/>
        <v>Closed In July</v>
      </c>
    </row>
    <row r="773" spans="1:30" hidden="1">
      <c r="A773" s="9">
        <v>46134</v>
      </c>
      <c r="B773" s="1">
        <v>2026</v>
      </c>
      <c r="C773" s="8" t="s">
        <v>26</v>
      </c>
      <c r="D773" s="11" t="s">
        <v>179</v>
      </c>
      <c r="E773" s="1"/>
      <c r="F773" s="1" t="s">
        <v>19</v>
      </c>
      <c r="G773" s="8" t="s">
        <v>180</v>
      </c>
      <c r="H773" s="8">
        <v>8248438488</v>
      </c>
      <c r="I773" s="10" t="s">
        <v>30</v>
      </c>
      <c r="J773" s="8" t="s">
        <v>181</v>
      </c>
      <c r="K773" s="8" t="s">
        <v>27</v>
      </c>
      <c r="L773" s="8" t="s">
        <v>28</v>
      </c>
      <c r="M773" s="25" t="s">
        <v>588</v>
      </c>
      <c r="N773" s="6" t="s">
        <v>138</v>
      </c>
      <c r="O773" s="11">
        <v>550</v>
      </c>
      <c r="P773" s="24" t="s">
        <v>986</v>
      </c>
      <c r="Q773" s="12" t="str">
        <f t="shared" si="156"/>
        <v>23</v>
      </c>
      <c r="R773" s="12" t="str">
        <f t="shared" si="157"/>
        <v>05</v>
      </c>
      <c r="S773" s="6" t="s">
        <v>129</v>
      </c>
      <c r="T773" s="1" t="s">
        <v>130</v>
      </c>
      <c r="U773" s="6" t="s">
        <v>142</v>
      </c>
      <c r="V773" s="1" t="s">
        <v>143</v>
      </c>
      <c r="W773" s="1" t="s">
        <v>133</v>
      </c>
      <c r="X773" s="5">
        <v>46231</v>
      </c>
      <c r="Y773" s="1">
        <f t="shared" si="158"/>
        <v>97</v>
      </c>
      <c r="Z773" s="5">
        <v>46231</v>
      </c>
      <c r="AA773" s="3"/>
      <c r="AB773" s="3"/>
      <c r="AD773" s="133" t="str">
        <f t="shared" si="159"/>
        <v>Closed In July</v>
      </c>
    </row>
    <row r="774" spans="1:30" hidden="1">
      <c r="A774" s="21">
        <v>46221</v>
      </c>
      <c r="B774" s="1">
        <v>2026</v>
      </c>
      <c r="C774" s="33" t="s">
        <v>62</v>
      </c>
      <c r="D774" s="34" t="s">
        <v>123</v>
      </c>
      <c r="E774" s="1"/>
      <c r="F774" s="1" t="s">
        <v>19</v>
      </c>
      <c r="G774" s="50" t="s">
        <v>987</v>
      </c>
      <c r="H774" s="18">
        <v>8976895391</v>
      </c>
      <c r="I774" s="10" t="s">
        <v>86</v>
      </c>
      <c r="J774" s="31" t="s">
        <v>125</v>
      </c>
      <c r="K774" s="8" t="s">
        <v>63</v>
      </c>
      <c r="L774" s="8" t="s">
        <v>35</v>
      </c>
      <c r="M774" s="2" t="s">
        <v>173</v>
      </c>
      <c r="N774" s="2" t="s">
        <v>127</v>
      </c>
      <c r="O774" s="8">
        <v>550</v>
      </c>
      <c r="P774" s="23" t="s">
        <v>988</v>
      </c>
      <c r="Q774" s="12" t="str">
        <f t="shared" si="156"/>
        <v>26</v>
      </c>
      <c r="R774" s="12" t="str">
        <f t="shared" si="157"/>
        <v>06</v>
      </c>
      <c r="S774" s="6" t="s">
        <v>464</v>
      </c>
      <c r="T774" s="1" t="s">
        <v>141</v>
      </c>
      <c r="U774" s="6" t="s">
        <v>175</v>
      </c>
      <c r="V774" s="6" t="s">
        <v>132</v>
      </c>
      <c r="W774" s="1" t="s">
        <v>133</v>
      </c>
      <c r="X774" s="5">
        <v>46231</v>
      </c>
      <c r="Y774" s="1">
        <f t="shared" si="158"/>
        <v>10</v>
      </c>
      <c r="Z774" s="5">
        <v>46231</v>
      </c>
      <c r="AA774" s="3"/>
      <c r="AB774" s="3"/>
      <c r="AD774" s="133" t="str">
        <f t="shared" si="159"/>
        <v>Closed In July</v>
      </c>
    </row>
    <row r="775" spans="1:30" hidden="1">
      <c r="A775" s="21">
        <v>46221</v>
      </c>
      <c r="B775" s="1">
        <v>2026</v>
      </c>
      <c r="C775" s="33" t="s">
        <v>62</v>
      </c>
      <c r="D775" s="34" t="s">
        <v>123</v>
      </c>
      <c r="E775" s="1"/>
      <c r="F775" s="1" t="s">
        <v>38</v>
      </c>
      <c r="G775" s="50" t="s">
        <v>987</v>
      </c>
      <c r="H775" s="18">
        <v>8976895391</v>
      </c>
      <c r="I775" s="10" t="s">
        <v>87</v>
      </c>
      <c r="J775" s="8" t="s">
        <v>989</v>
      </c>
      <c r="K775" s="8" t="s">
        <v>63</v>
      </c>
      <c r="L775" s="8" t="s">
        <v>35</v>
      </c>
      <c r="M775" s="8" t="s">
        <v>990</v>
      </c>
      <c r="N775" s="8" t="s">
        <v>1108</v>
      </c>
      <c r="O775" s="8">
        <v>620</v>
      </c>
      <c r="P775" s="2" t="s">
        <v>991</v>
      </c>
      <c r="Q775" s="12" t="str">
        <f t="shared" ref="Q775" si="160">MID(P775,5,2)</f>
        <v>26</v>
      </c>
      <c r="R775" s="12" t="str">
        <f t="shared" ref="R775" si="161">MID(P775,7,2)</f>
        <v>07</v>
      </c>
      <c r="S775" s="6" t="s">
        <v>140</v>
      </c>
      <c r="T775" s="1" t="s">
        <v>474</v>
      </c>
      <c r="U775" s="8" t="s">
        <v>992</v>
      </c>
      <c r="V775" s="1" t="s">
        <v>258</v>
      </c>
      <c r="W775" s="1" t="s">
        <v>1165</v>
      </c>
      <c r="X775" s="15"/>
      <c r="Y775" s="1">
        <f t="shared" si="158"/>
        <v>-46221</v>
      </c>
      <c r="Z775" s="5">
        <v>46231</v>
      </c>
      <c r="AA775" s="3"/>
      <c r="AB775" s="3"/>
      <c r="AD775" s="133" t="str">
        <f t="shared" si="159"/>
        <v>Other</v>
      </c>
    </row>
    <row r="776" spans="1:30" hidden="1">
      <c r="A776" s="21">
        <v>46224</v>
      </c>
      <c r="B776" s="1">
        <v>2026</v>
      </c>
      <c r="C776" s="33" t="s">
        <v>62</v>
      </c>
      <c r="D776" s="34" t="s">
        <v>123</v>
      </c>
      <c r="E776" s="1"/>
      <c r="F776" s="1" t="s">
        <v>38</v>
      </c>
      <c r="G776" s="8" t="s">
        <v>619</v>
      </c>
      <c r="H776" s="18">
        <v>8828840014</v>
      </c>
      <c r="I776" s="10" t="s">
        <v>88</v>
      </c>
      <c r="J776" s="31" t="s">
        <v>993</v>
      </c>
      <c r="K776" s="8" t="s">
        <v>63</v>
      </c>
      <c r="L776" s="8" t="s">
        <v>35</v>
      </c>
      <c r="M776" s="8" t="s">
        <v>990</v>
      </c>
      <c r="N776" s="8" t="s">
        <v>1108</v>
      </c>
      <c r="O776" s="11">
        <v>550</v>
      </c>
      <c r="P776" s="6" t="s">
        <v>994</v>
      </c>
      <c r="Q776" s="12" t="str">
        <f t="shared" ref="Q776:Q782" si="162">MID(P776,5,2)</f>
        <v>26</v>
      </c>
      <c r="R776" s="12" t="str">
        <f t="shared" ref="R776:R782" si="163">MID(P776,7,2)</f>
        <v>06</v>
      </c>
      <c r="S776" s="6" t="s">
        <v>140</v>
      </c>
      <c r="T776" s="1" t="s">
        <v>141</v>
      </c>
      <c r="U776" s="8" t="s">
        <v>992</v>
      </c>
      <c r="V776" s="1" t="s">
        <v>258</v>
      </c>
      <c r="W776" s="1" t="s">
        <v>1165</v>
      </c>
      <c r="X776" s="15"/>
      <c r="Y776" s="1">
        <f t="shared" ref="Y776" si="164">X776-A776</f>
        <v>-46224</v>
      </c>
      <c r="Z776" s="5">
        <v>46231</v>
      </c>
      <c r="AA776" s="3"/>
      <c r="AB776" s="3"/>
      <c r="AD776" s="133" t="str">
        <f t="shared" si="159"/>
        <v>Other</v>
      </c>
    </row>
    <row r="777" spans="1:30" hidden="1">
      <c r="A777" s="21">
        <v>46224</v>
      </c>
      <c r="B777" s="1">
        <v>2026</v>
      </c>
      <c r="C777" s="33" t="s">
        <v>62</v>
      </c>
      <c r="D777" s="34" t="s">
        <v>123</v>
      </c>
      <c r="E777" s="1"/>
      <c r="F777" s="1" t="s">
        <v>38</v>
      </c>
      <c r="G777" s="8" t="s">
        <v>619</v>
      </c>
      <c r="H777" s="18">
        <v>8828840014</v>
      </c>
      <c r="I777" s="10" t="s">
        <v>88</v>
      </c>
      <c r="J777" s="31" t="s">
        <v>993</v>
      </c>
      <c r="K777" s="8" t="s">
        <v>63</v>
      </c>
      <c r="L777" s="8" t="s">
        <v>35</v>
      </c>
      <c r="M777" s="8" t="s">
        <v>990</v>
      </c>
      <c r="N777" s="8" t="s">
        <v>1108</v>
      </c>
      <c r="O777" s="11">
        <v>550</v>
      </c>
      <c r="P777" s="6" t="s">
        <v>995</v>
      </c>
      <c r="Q777" s="12" t="str">
        <f t="shared" si="162"/>
        <v>26</v>
      </c>
      <c r="R777" s="12" t="str">
        <f t="shared" si="163"/>
        <v>06</v>
      </c>
      <c r="S777" s="6" t="s">
        <v>140</v>
      </c>
      <c r="T777" s="1" t="s">
        <v>141</v>
      </c>
      <c r="U777" s="8" t="s">
        <v>992</v>
      </c>
      <c r="V777" s="1" t="s">
        <v>258</v>
      </c>
      <c r="W777" s="1" t="s">
        <v>1165</v>
      </c>
      <c r="X777" s="15"/>
      <c r="Y777" s="1">
        <f t="shared" ref="Y777:Y782" si="165">X777-A777</f>
        <v>-46224</v>
      </c>
      <c r="Z777" s="5">
        <v>46231</v>
      </c>
      <c r="AA777" s="3"/>
      <c r="AB777" s="3"/>
      <c r="AD777" s="133" t="str">
        <f t="shared" si="159"/>
        <v>Other</v>
      </c>
    </row>
    <row r="778" spans="1:30" hidden="1">
      <c r="A778" s="21">
        <v>46224</v>
      </c>
      <c r="B778" s="1">
        <v>2026</v>
      </c>
      <c r="C778" s="33" t="s">
        <v>62</v>
      </c>
      <c r="D778" s="34" t="s">
        <v>123</v>
      </c>
      <c r="E778" s="1"/>
      <c r="F778" s="1" t="s">
        <v>38</v>
      </c>
      <c r="G778" s="8" t="s">
        <v>619</v>
      </c>
      <c r="H778" s="18">
        <v>8828840014</v>
      </c>
      <c r="I778" s="10" t="s">
        <v>88</v>
      </c>
      <c r="J778" s="31" t="s">
        <v>993</v>
      </c>
      <c r="K778" s="8" t="s">
        <v>63</v>
      </c>
      <c r="L778" s="8" t="s">
        <v>35</v>
      </c>
      <c r="M778" s="8" t="s">
        <v>990</v>
      </c>
      <c r="N778" s="8" t="s">
        <v>1108</v>
      </c>
      <c r="O778" s="11">
        <v>550</v>
      </c>
      <c r="P778" s="6" t="s">
        <v>996</v>
      </c>
      <c r="Q778" s="12" t="str">
        <f t="shared" si="162"/>
        <v>26</v>
      </c>
      <c r="R778" s="12" t="str">
        <f t="shared" si="163"/>
        <v>06</v>
      </c>
      <c r="S778" s="6" t="s">
        <v>140</v>
      </c>
      <c r="T778" s="1" t="s">
        <v>141</v>
      </c>
      <c r="U778" s="8" t="s">
        <v>992</v>
      </c>
      <c r="V778" s="1" t="s">
        <v>258</v>
      </c>
      <c r="W778" s="1" t="s">
        <v>1165</v>
      </c>
      <c r="X778" s="15"/>
      <c r="Y778" s="1">
        <f t="shared" si="165"/>
        <v>-46224</v>
      </c>
      <c r="Z778" s="5">
        <v>46231</v>
      </c>
      <c r="AA778" s="3"/>
      <c r="AB778" s="3"/>
      <c r="AD778" s="133" t="str">
        <f t="shared" si="159"/>
        <v>Other</v>
      </c>
    </row>
    <row r="779" spans="1:30" hidden="1">
      <c r="A779" s="21">
        <v>46224</v>
      </c>
      <c r="B779" s="1">
        <v>2026</v>
      </c>
      <c r="C779" s="33" t="s">
        <v>62</v>
      </c>
      <c r="D779" s="34" t="s">
        <v>123</v>
      </c>
      <c r="E779" s="1"/>
      <c r="F779" s="1" t="s">
        <v>38</v>
      </c>
      <c r="G779" s="8" t="s">
        <v>619</v>
      </c>
      <c r="H779" s="18">
        <v>8828840014</v>
      </c>
      <c r="I779" s="10" t="s">
        <v>88</v>
      </c>
      <c r="J779" s="31" t="s">
        <v>993</v>
      </c>
      <c r="K779" s="8" t="s">
        <v>63</v>
      </c>
      <c r="L779" s="8" t="s">
        <v>35</v>
      </c>
      <c r="M779" s="8" t="s">
        <v>990</v>
      </c>
      <c r="N779" s="8" t="s">
        <v>1108</v>
      </c>
      <c r="O779" s="11">
        <v>550</v>
      </c>
      <c r="P779" s="6" t="s">
        <v>997</v>
      </c>
      <c r="Q779" s="12" t="str">
        <f t="shared" si="162"/>
        <v>26</v>
      </c>
      <c r="R779" s="12" t="str">
        <f t="shared" si="163"/>
        <v>06</v>
      </c>
      <c r="S779" s="6" t="s">
        <v>140</v>
      </c>
      <c r="T779" s="1" t="s">
        <v>141</v>
      </c>
      <c r="U779" s="8" t="s">
        <v>992</v>
      </c>
      <c r="V779" s="1" t="s">
        <v>258</v>
      </c>
      <c r="W779" s="1" t="s">
        <v>1165</v>
      </c>
      <c r="X779" s="15"/>
      <c r="Y779" s="1">
        <f t="shared" si="165"/>
        <v>-46224</v>
      </c>
      <c r="Z779" s="5">
        <v>46231</v>
      </c>
      <c r="AA779" s="3"/>
      <c r="AB779" s="3"/>
      <c r="AD779" s="133" t="str">
        <f t="shared" si="159"/>
        <v>Other</v>
      </c>
    </row>
    <row r="780" spans="1:30" hidden="1">
      <c r="A780" s="21">
        <v>46224</v>
      </c>
      <c r="B780" s="1">
        <v>2026</v>
      </c>
      <c r="C780" s="33" t="s">
        <v>62</v>
      </c>
      <c r="D780" s="34" t="s">
        <v>123</v>
      </c>
      <c r="E780" s="1"/>
      <c r="F780" s="1" t="s">
        <v>38</v>
      </c>
      <c r="G780" s="8" t="s">
        <v>619</v>
      </c>
      <c r="H780" s="18">
        <v>8828840014</v>
      </c>
      <c r="I780" s="10" t="s">
        <v>88</v>
      </c>
      <c r="J780" s="31" t="s">
        <v>993</v>
      </c>
      <c r="K780" s="8" t="s">
        <v>63</v>
      </c>
      <c r="L780" s="8" t="s">
        <v>35</v>
      </c>
      <c r="M780" s="8" t="s">
        <v>990</v>
      </c>
      <c r="N780" s="8" t="s">
        <v>1108</v>
      </c>
      <c r="O780" s="11">
        <v>550</v>
      </c>
      <c r="P780" s="6" t="s">
        <v>998</v>
      </c>
      <c r="Q780" s="12" t="str">
        <f t="shared" si="162"/>
        <v>26</v>
      </c>
      <c r="R780" s="12" t="str">
        <f t="shared" si="163"/>
        <v>06</v>
      </c>
      <c r="S780" s="6" t="s">
        <v>140</v>
      </c>
      <c r="T780" s="1" t="s">
        <v>141</v>
      </c>
      <c r="U780" s="8" t="s">
        <v>992</v>
      </c>
      <c r="V780" s="1" t="s">
        <v>258</v>
      </c>
      <c r="W780" s="1" t="s">
        <v>1165</v>
      </c>
      <c r="X780" s="15"/>
      <c r="Y780" s="1">
        <f t="shared" si="165"/>
        <v>-46224</v>
      </c>
      <c r="Z780" s="5">
        <v>46231</v>
      </c>
      <c r="AA780" s="3"/>
      <c r="AB780" s="3"/>
      <c r="AD780" s="133" t="str">
        <f t="shared" si="159"/>
        <v>Other</v>
      </c>
    </row>
    <row r="781" spans="1:30" hidden="1">
      <c r="A781" s="21">
        <v>46224</v>
      </c>
      <c r="B781" s="1">
        <v>2026</v>
      </c>
      <c r="C781" s="33" t="s">
        <v>62</v>
      </c>
      <c r="D781" s="34" t="s">
        <v>123</v>
      </c>
      <c r="E781" s="1"/>
      <c r="F781" s="1" t="s">
        <v>38</v>
      </c>
      <c r="G781" s="8" t="s">
        <v>619</v>
      </c>
      <c r="H781" s="18">
        <v>8828840014</v>
      </c>
      <c r="I781" s="10" t="s">
        <v>88</v>
      </c>
      <c r="J781" s="31" t="s">
        <v>993</v>
      </c>
      <c r="K781" s="8" t="s">
        <v>63</v>
      </c>
      <c r="L781" s="8" t="s">
        <v>35</v>
      </c>
      <c r="M781" s="8" t="s">
        <v>990</v>
      </c>
      <c r="N781" s="8" t="s">
        <v>1108</v>
      </c>
      <c r="O781" s="11">
        <v>550</v>
      </c>
      <c r="P781" s="6" t="s">
        <v>999</v>
      </c>
      <c r="Q781" s="12" t="str">
        <f t="shared" si="162"/>
        <v>26</v>
      </c>
      <c r="R781" s="12" t="str">
        <f t="shared" si="163"/>
        <v>06</v>
      </c>
      <c r="S781" s="6" t="s">
        <v>140</v>
      </c>
      <c r="T781" s="1" t="s">
        <v>141</v>
      </c>
      <c r="U781" s="8" t="s">
        <v>992</v>
      </c>
      <c r="V781" s="1" t="s">
        <v>258</v>
      </c>
      <c r="W781" s="1" t="s">
        <v>1165</v>
      </c>
      <c r="X781" s="15"/>
      <c r="Y781" s="1">
        <f t="shared" si="165"/>
        <v>-46224</v>
      </c>
      <c r="Z781" s="5">
        <v>46231</v>
      </c>
      <c r="AA781" s="3"/>
      <c r="AB781" s="3"/>
      <c r="AD781" s="133" t="str">
        <f t="shared" si="159"/>
        <v>Other</v>
      </c>
    </row>
    <row r="782" spans="1:30" hidden="1">
      <c r="A782" s="9">
        <v>46134</v>
      </c>
      <c r="B782" s="1">
        <v>2026</v>
      </c>
      <c r="C782" s="8" t="s">
        <v>26</v>
      </c>
      <c r="D782" s="11" t="s">
        <v>179</v>
      </c>
      <c r="E782" s="1"/>
      <c r="F782" s="1" t="s">
        <v>19</v>
      </c>
      <c r="G782" s="8" t="s">
        <v>180</v>
      </c>
      <c r="H782" s="8">
        <v>8248438488</v>
      </c>
      <c r="I782" s="10" t="s">
        <v>30</v>
      </c>
      <c r="J782" s="8" t="s">
        <v>181</v>
      </c>
      <c r="K782" s="8" t="s">
        <v>27</v>
      </c>
      <c r="L782" s="8" t="s">
        <v>28</v>
      </c>
      <c r="M782" s="24" t="s">
        <v>146</v>
      </c>
      <c r="N782" s="6" t="s">
        <v>138</v>
      </c>
      <c r="O782" s="11">
        <v>550</v>
      </c>
      <c r="P782" s="24" t="s">
        <v>1000</v>
      </c>
      <c r="Q782" s="12" t="str">
        <f t="shared" si="162"/>
        <v>23</v>
      </c>
      <c r="R782" s="12" t="str">
        <f t="shared" si="163"/>
        <v>06</v>
      </c>
      <c r="S782" s="6" t="s">
        <v>129</v>
      </c>
      <c r="T782" s="1" t="s">
        <v>130</v>
      </c>
      <c r="U782" s="6" t="s">
        <v>148</v>
      </c>
      <c r="V782" s="1" t="s">
        <v>143</v>
      </c>
      <c r="W782" s="1" t="s">
        <v>133</v>
      </c>
      <c r="X782" s="5">
        <v>46232</v>
      </c>
      <c r="Y782" s="1">
        <f t="shared" si="165"/>
        <v>98</v>
      </c>
      <c r="Z782" s="5">
        <v>46232</v>
      </c>
      <c r="AA782" s="3"/>
      <c r="AB782" s="3"/>
      <c r="AD782" s="133" t="str">
        <f t="shared" si="159"/>
        <v>Closed In July</v>
      </c>
    </row>
    <row r="783" spans="1:30" hidden="1">
      <c r="A783" s="9">
        <v>46134</v>
      </c>
      <c r="B783" s="1">
        <v>2026</v>
      </c>
      <c r="C783" s="8" t="s">
        <v>26</v>
      </c>
      <c r="D783" s="11" t="s">
        <v>179</v>
      </c>
      <c r="E783" s="1"/>
      <c r="F783" s="1" t="s">
        <v>19</v>
      </c>
      <c r="G783" s="8" t="s">
        <v>180</v>
      </c>
      <c r="H783" s="8">
        <v>8248438488</v>
      </c>
      <c r="I783" s="10" t="s">
        <v>30</v>
      </c>
      <c r="J783" s="8" t="s">
        <v>181</v>
      </c>
      <c r="K783" s="8" t="s">
        <v>27</v>
      </c>
      <c r="L783" s="8" t="s">
        <v>28</v>
      </c>
      <c r="M783" s="25" t="s">
        <v>137</v>
      </c>
      <c r="N783" s="6" t="s">
        <v>138</v>
      </c>
      <c r="O783" s="11">
        <v>550</v>
      </c>
      <c r="P783" s="25" t="s">
        <v>1001</v>
      </c>
      <c r="Q783" s="12" t="str">
        <f t="shared" ref="Q783:Q813" si="166">MID(P783,5,2)</f>
        <v>23</v>
      </c>
      <c r="R783" s="12" t="str">
        <f t="shared" ref="R783:R813" si="167">MID(P783,7,2)</f>
        <v>05</v>
      </c>
      <c r="S783" s="6" t="s">
        <v>129</v>
      </c>
      <c r="T783" s="1" t="s">
        <v>130</v>
      </c>
      <c r="U783" s="6" t="s">
        <v>142</v>
      </c>
      <c r="V783" s="1" t="s">
        <v>143</v>
      </c>
      <c r="W783" s="1" t="s">
        <v>133</v>
      </c>
      <c r="X783" s="5">
        <v>46232</v>
      </c>
      <c r="Y783" s="1">
        <f t="shared" ref="Y783:Y813" si="168">X783-A783</f>
        <v>98</v>
      </c>
      <c r="Z783" s="5">
        <v>46232</v>
      </c>
      <c r="AA783" s="3"/>
      <c r="AB783" s="3"/>
      <c r="AD783" s="133" t="str">
        <f t="shared" si="159"/>
        <v>Closed In July</v>
      </c>
    </row>
    <row r="784" spans="1:30" hidden="1">
      <c r="A784" s="9">
        <v>46134</v>
      </c>
      <c r="B784" s="1">
        <v>2026</v>
      </c>
      <c r="C784" s="8" t="s">
        <v>26</v>
      </c>
      <c r="D784" s="11" t="s">
        <v>179</v>
      </c>
      <c r="E784" s="1"/>
      <c r="F784" s="1" t="s">
        <v>19</v>
      </c>
      <c r="G784" s="8" t="s">
        <v>180</v>
      </c>
      <c r="H784" s="8">
        <v>8248438488</v>
      </c>
      <c r="I784" s="10" t="s">
        <v>30</v>
      </c>
      <c r="J784" s="8" t="s">
        <v>181</v>
      </c>
      <c r="K784" s="8" t="s">
        <v>27</v>
      </c>
      <c r="L784" s="8" t="s">
        <v>28</v>
      </c>
      <c r="M784" s="25" t="s">
        <v>126</v>
      </c>
      <c r="N784" s="1" t="s">
        <v>127</v>
      </c>
      <c r="O784" s="11">
        <v>550</v>
      </c>
      <c r="P784" s="25" t="s">
        <v>1002</v>
      </c>
      <c r="Q784" s="12" t="str">
        <f t="shared" si="166"/>
        <v>23</v>
      </c>
      <c r="R784" s="12" t="str">
        <f t="shared" si="167"/>
        <v>05</v>
      </c>
      <c r="S784" s="6" t="s">
        <v>129</v>
      </c>
      <c r="T784" s="1" t="s">
        <v>130</v>
      </c>
      <c r="U784" s="6" t="s">
        <v>145</v>
      </c>
      <c r="V784" s="6" t="s">
        <v>132</v>
      </c>
      <c r="W784" s="1" t="s">
        <v>133</v>
      </c>
      <c r="X784" s="5">
        <v>46232</v>
      </c>
      <c r="Y784" s="1">
        <f t="shared" si="168"/>
        <v>98</v>
      </c>
      <c r="Z784" s="5">
        <v>46232</v>
      </c>
      <c r="AA784" s="3"/>
      <c r="AB784" s="3"/>
      <c r="AD784" s="133" t="str">
        <f t="shared" si="159"/>
        <v>Closed In July</v>
      </c>
    </row>
    <row r="785" spans="1:30" hidden="1">
      <c r="A785" s="9">
        <v>46134</v>
      </c>
      <c r="B785" s="1">
        <v>2026</v>
      </c>
      <c r="C785" s="8" t="s">
        <v>26</v>
      </c>
      <c r="D785" s="11" t="s">
        <v>179</v>
      </c>
      <c r="E785" s="1"/>
      <c r="F785" s="1" t="s">
        <v>19</v>
      </c>
      <c r="G785" s="8" t="s">
        <v>180</v>
      </c>
      <c r="H785" s="8">
        <v>8248438488</v>
      </c>
      <c r="I785" s="10" t="s">
        <v>30</v>
      </c>
      <c r="J785" s="8" t="s">
        <v>181</v>
      </c>
      <c r="K785" s="8" t="s">
        <v>27</v>
      </c>
      <c r="L785" s="8" t="s">
        <v>28</v>
      </c>
      <c r="M785" s="25" t="s">
        <v>137</v>
      </c>
      <c r="N785" s="6" t="s">
        <v>138</v>
      </c>
      <c r="O785" s="11">
        <v>550</v>
      </c>
      <c r="P785" s="25" t="s">
        <v>1003</v>
      </c>
      <c r="Q785" s="12" t="str">
        <f t="shared" si="166"/>
        <v>23</v>
      </c>
      <c r="R785" s="12" t="str">
        <f t="shared" si="167"/>
        <v>05</v>
      </c>
      <c r="S785" s="6" t="s">
        <v>129</v>
      </c>
      <c r="T785" s="1" t="s">
        <v>130</v>
      </c>
      <c r="U785" s="6" t="s">
        <v>142</v>
      </c>
      <c r="V785" s="1" t="s">
        <v>143</v>
      </c>
      <c r="W785" s="1" t="s">
        <v>133</v>
      </c>
      <c r="X785" s="5">
        <v>46232</v>
      </c>
      <c r="Y785" s="1">
        <f t="shared" si="168"/>
        <v>98</v>
      </c>
      <c r="Z785" s="5">
        <v>46232</v>
      </c>
      <c r="AA785" s="3"/>
      <c r="AB785" s="3"/>
      <c r="AD785" s="133" t="str">
        <f t="shared" si="159"/>
        <v>Closed In July</v>
      </c>
    </row>
    <row r="786" spans="1:30" hidden="1">
      <c r="A786" s="9">
        <v>46134</v>
      </c>
      <c r="B786" s="1">
        <v>2026</v>
      </c>
      <c r="C786" s="8" t="s">
        <v>26</v>
      </c>
      <c r="D786" s="11" t="s">
        <v>179</v>
      </c>
      <c r="E786" s="1"/>
      <c r="F786" s="1" t="s">
        <v>19</v>
      </c>
      <c r="G786" s="8" t="s">
        <v>180</v>
      </c>
      <c r="H786" s="8">
        <v>8248438488</v>
      </c>
      <c r="I786" s="10" t="s">
        <v>30</v>
      </c>
      <c r="J786" s="8" t="s">
        <v>181</v>
      </c>
      <c r="K786" s="8" t="s">
        <v>27</v>
      </c>
      <c r="L786" s="8" t="s">
        <v>28</v>
      </c>
      <c r="M786" s="25" t="s">
        <v>146</v>
      </c>
      <c r="N786" s="6" t="s">
        <v>138</v>
      </c>
      <c r="O786" s="11">
        <v>550</v>
      </c>
      <c r="P786" s="25" t="s">
        <v>1004</v>
      </c>
      <c r="Q786" s="12" t="str">
        <f t="shared" si="166"/>
        <v>23</v>
      </c>
      <c r="R786" s="12" t="str">
        <f t="shared" si="167"/>
        <v>05</v>
      </c>
      <c r="S786" s="6" t="s">
        <v>129</v>
      </c>
      <c r="T786" s="1" t="s">
        <v>130</v>
      </c>
      <c r="U786" s="6" t="s">
        <v>148</v>
      </c>
      <c r="V786" s="1" t="s">
        <v>143</v>
      </c>
      <c r="W786" s="1" t="s">
        <v>133</v>
      </c>
      <c r="X786" s="5">
        <v>46232</v>
      </c>
      <c r="Y786" s="1">
        <f t="shared" si="168"/>
        <v>98</v>
      </c>
      <c r="Z786" s="5">
        <v>46232</v>
      </c>
      <c r="AA786" s="3"/>
      <c r="AB786" s="3"/>
      <c r="AD786" s="133" t="str">
        <f t="shared" si="159"/>
        <v>Closed In July</v>
      </c>
    </row>
    <row r="787" spans="1:30" hidden="1">
      <c r="A787" s="9">
        <v>46134</v>
      </c>
      <c r="B787" s="1">
        <v>2026</v>
      </c>
      <c r="C787" s="8" t="s">
        <v>26</v>
      </c>
      <c r="D787" s="11" t="s">
        <v>179</v>
      </c>
      <c r="E787" s="1"/>
      <c r="F787" s="1" t="s">
        <v>19</v>
      </c>
      <c r="G787" s="8" t="s">
        <v>180</v>
      </c>
      <c r="H787" s="8">
        <v>8248438488</v>
      </c>
      <c r="I787" s="10" t="s">
        <v>30</v>
      </c>
      <c r="J787" s="8" t="s">
        <v>181</v>
      </c>
      <c r="K787" s="8" t="s">
        <v>27</v>
      </c>
      <c r="L787" s="8" t="s">
        <v>28</v>
      </c>
      <c r="M787" s="25" t="s">
        <v>146</v>
      </c>
      <c r="N787" s="6" t="s">
        <v>138</v>
      </c>
      <c r="O787" s="11">
        <v>550</v>
      </c>
      <c r="P787" s="25" t="s">
        <v>1005</v>
      </c>
      <c r="Q787" s="12" t="str">
        <f t="shared" si="166"/>
        <v>23</v>
      </c>
      <c r="R787" s="12" t="str">
        <f t="shared" si="167"/>
        <v>05</v>
      </c>
      <c r="S787" s="6" t="s">
        <v>129</v>
      </c>
      <c r="T787" s="1" t="s">
        <v>130</v>
      </c>
      <c r="U787" s="6" t="s">
        <v>148</v>
      </c>
      <c r="V787" s="1" t="s">
        <v>143</v>
      </c>
      <c r="W787" s="1" t="s">
        <v>133</v>
      </c>
      <c r="X787" s="5">
        <v>46232</v>
      </c>
      <c r="Y787" s="1">
        <f t="shared" si="168"/>
        <v>98</v>
      </c>
      <c r="Z787" s="5">
        <v>46232</v>
      </c>
      <c r="AA787" s="3"/>
      <c r="AB787" s="3"/>
      <c r="AD787" s="133" t="str">
        <f t="shared" si="159"/>
        <v>Closed In July</v>
      </c>
    </row>
    <row r="788" spans="1:30" hidden="1">
      <c r="A788" s="9">
        <v>46134</v>
      </c>
      <c r="B788" s="1">
        <v>2026</v>
      </c>
      <c r="C788" s="8" t="s">
        <v>26</v>
      </c>
      <c r="D788" s="11" t="s">
        <v>179</v>
      </c>
      <c r="E788" s="1"/>
      <c r="F788" s="1" t="s">
        <v>19</v>
      </c>
      <c r="G788" s="8" t="s">
        <v>180</v>
      </c>
      <c r="H788" s="8">
        <v>8248438488</v>
      </c>
      <c r="I788" s="10" t="s">
        <v>30</v>
      </c>
      <c r="J788" s="8" t="s">
        <v>181</v>
      </c>
      <c r="K788" s="8" t="s">
        <v>27</v>
      </c>
      <c r="L788" s="8" t="s">
        <v>28</v>
      </c>
      <c r="M788" s="25" t="s">
        <v>146</v>
      </c>
      <c r="N788" s="6" t="s">
        <v>138</v>
      </c>
      <c r="O788" s="11">
        <v>550</v>
      </c>
      <c r="P788" s="25" t="s">
        <v>1006</v>
      </c>
      <c r="Q788" s="12" t="str">
        <f t="shared" si="166"/>
        <v>23</v>
      </c>
      <c r="R788" s="12" t="str">
        <f t="shared" si="167"/>
        <v>05</v>
      </c>
      <c r="S788" s="6" t="s">
        <v>129</v>
      </c>
      <c r="T788" s="1" t="s">
        <v>130</v>
      </c>
      <c r="U788" s="6" t="s">
        <v>148</v>
      </c>
      <c r="V788" s="1" t="s">
        <v>143</v>
      </c>
      <c r="W788" s="1" t="s">
        <v>133</v>
      </c>
      <c r="X788" s="5">
        <v>46232</v>
      </c>
      <c r="Y788" s="1">
        <f t="shared" si="168"/>
        <v>98</v>
      </c>
      <c r="Z788" s="5">
        <v>46232</v>
      </c>
      <c r="AA788" s="3"/>
      <c r="AB788" s="3"/>
      <c r="AD788" s="133" t="str">
        <f t="shared" si="159"/>
        <v>Closed In July</v>
      </c>
    </row>
    <row r="789" spans="1:30" hidden="1">
      <c r="A789" s="9">
        <v>46134</v>
      </c>
      <c r="B789" s="1">
        <v>2026</v>
      </c>
      <c r="C789" s="8" t="s">
        <v>26</v>
      </c>
      <c r="D789" s="11" t="s">
        <v>179</v>
      </c>
      <c r="E789" s="1"/>
      <c r="F789" s="1" t="s">
        <v>19</v>
      </c>
      <c r="G789" s="8" t="s">
        <v>180</v>
      </c>
      <c r="H789" s="8">
        <v>8248438488</v>
      </c>
      <c r="I789" s="10" t="s">
        <v>30</v>
      </c>
      <c r="J789" s="8" t="s">
        <v>181</v>
      </c>
      <c r="K789" s="8" t="s">
        <v>27</v>
      </c>
      <c r="L789" s="8" t="s">
        <v>28</v>
      </c>
      <c r="M789" s="25" t="s">
        <v>146</v>
      </c>
      <c r="N789" s="6" t="s">
        <v>138</v>
      </c>
      <c r="O789" s="11">
        <v>550</v>
      </c>
      <c r="P789" s="25" t="s">
        <v>1007</v>
      </c>
      <c r="Q789" s="12" t="str">
        <f t="shared" si="166"/>
        <v>23</v>
      </c>
      <c r="R789" s="12" t="str">
        <f t="shared" si="167"/>
        <v>05</v>
      </c>
      <c r="S789" s="6" t="s">
        <v>129</v>
      </c>
      <c r="T789" s="1" t="s">
        <v>130</v>
      </c>
      <c r="U789" s="6" t="s">
        <v>148</v>
      </c>
      <c r="V789" s="1" t="s">
        <v>143</v>
      </c>
      <c r="W789" s="1" t="s">
        <v>133</v>
      </c>
      <c r="X789" s="5">
        <v>46232</v>
      </c>
      <c r="Y789" s="1">
        <f t="shared" si="168"/>
        <v>98</v>
      </c>
      <c r="Z789" s="5">
        <v>46232</v>
      </c>
      <c r="AA789" s="3"/>
      <c r="AB789" s="3"/>
      <c r="AD789" s="133" t="str">
        <f t="shared" si="159"/>
        <v>Closed In July</v>
      </c>
    </row>
    <row r="790" spans="1:30" hidden="1">
      <c r="A790" s="9">
        <v>46134</v>
      </c>
      <c r="B790" s="1">
        <v>2026</v>
      </c>
      <c r="C790" s="8" t="s">
        <v>26</v>
      </c>
      <c r="D790" s="11" t="s">
        <v>179</v>
      </c>
      <c r="E790" s="1"/>
      <c r="F790" s="1" t="s">
        <v>19</v>
      </c>
      <c r="G790" s="8" t="s">
        <v>180</v>
      </c>
      <c r="H790" s="8">
        <v>8248438488</v>
      </c>
      <c r="I790" s="10" t="s">
        <v>30</v>
      </c>
      <c r="J790" s="8" t="s">
        <v>181</v>
      </c>
      <c r="K790" s="8" t="s">
        <v>27</v>
      </c>
      <c r="L790" s="8" t="s">
        <v>28</v>
      </c>
      <c r="M790" s="25" t="s">
        <v>146</v>
      </c>
      <c r="N790" s="6" t="s">
        <v>138</v>
      </c>
      <c r="O790" s="11">
        <v>550</v>
      </c>
      <c r="P790" s="25" t="s">
        <v>1008</v>
      </c>
      <c r="Q790" s="12" t="str">
        <f t="shared" si="166"/>
        <v>23</v>
      </c>
      <c r="R790" s="12" t="str">
        <f t="shared" si="167"/>
        <v>05</v>
      </c>
      <c r="S790" s="6" t="s">
        <v>129</v>
      </c>
      <c r="T790" s="1" t="s">
        <v>130</v>
      </c>
      <c r="U790" s="6" t="s">
        <v>148</v>
      </c>
      <c r="V790" s="1" t="s">
        <v>143</v>
      </c>
      <c r="W790" s="1" t="s">
        <v>133</v>
      </c>
      <c r="X790" s="5">
        <v>46232</v>
      </c>
      <c r="Y790" s="1">
        <f t="shared" si="168"/>
        <v>98</v>
      </c>
      <c r="Z790" s="5">
        <v>46232</v>
      </c>
      <c r="AA790" s="3"/>
      <c r="AB790" s="3"/>
      <c r="AD790" s="133" t="str">
        <f t="shared" si="159"/>
        <v>Closed In July</v>
      </c>
    </row>
    <row r="791" spans="1:30" hidden="1">
      <c r="A791" s="9">
        <v>46134</v>
      </c>
      <c r="B791" s="1">
        <v>2026</v>
      </c>
      <c r="C791" s="8" t="s">
        <v>26</v>
      </c>
      <c r="D791" s="11" t="s">
        <v>179</v>
      </c>
      <c r="E791" s="1"/>
      <c r="F791" s="1" t="s">
        <v>19</v>
      </c>
      <c r="G791" s="8" t="s">
        <v>180</v>
      </c>
      <c r="H791" s="8">
        <v>8248438488</v>
      </c>
      <c r="I791" s="10" t="s">
        <v>30</v>
      </c>
      <c r="J791" s="8" t="s">
        <v>181</v>
      </c>
      <c r="K791" s="8" t="s">
        <v>27</v>
      </c>
      <c r="L791" s="8" t="s">
        <v>28</v>
      </c>
      <c r="M791" s="25" t="s">
        <v>146</v>
      </c>
      <c r="N791" s="6" t="s">
        <v>138</v>
      </c>
      <c r="O791" s="11">
        <v>550</v>
      </c>
      <c r="P791" s="25" t="s">
        <v>1009</v>
      </c>
      <c r="Q791" s="12" t="str">
        <f t="shared" si="166"/>
        <v>23</v>
      </c>
      <c r="R791" s="12" t="str">
        <f t="shared" si="167"/>
        <v>05</v>
      </c>
      <c r="S791" s="6" t="s">
        <v>129</v>
      </c>
      <c r="T791" s="1" t="s">
        <v>130</v>
      </c>
      <c r="U791" s="6" t="s">
        <v>148</v>
      </c>
      <c r="V791" s="1" t="s">
        <v>143</v>
      </c>
      <c r="W791" s="1" t="s">
        <v>133</v>
      </c>
      <c r="X791" s="5">
        <v>46232</v>
      </c>
      <c r="Y791" s="1">
        <f t="shared" si="168"/>
        <v>98</v>
      </c>
      <c r="Z791" s="5">
        <v>46232</v>
      </c>
      <c r="AA791" s="3"/>
      <c r="AB791" s="3"/>
      <c r="AD791" s="133" t="str">
        <f t="shared" si="159"/>
        <v>Closed In July</v>
      </c>
    </row>
    <row r="792" spans="1:30" hidden="1">
      <c r="A792" s="9">
        <v>46134</v>
      </c>
      <c r="B792" s="1">
        <v>2026</v>
      </c>
      <c r="C792" s="8" t="s">
        <v>26</v>
      </c>
      <c r="D792" s="11" t="s">
        <v>179</v>
      </c>
      <c r="E792" s="1"/>
      <c r="F792" s="1" t="s">
        <v>19</v>
      </c>
      <c r="G792" s="8" t="s">
        <v>180</v>
      </c>
      <c r="H792" s="8">
        <v>8248438488</v>
      </c>
      <c r="I792" s="10" t="s">
        <v>30</v>
      </c>
      <c r="J792" s="8" t="s">
        <v>181</v>
      </c>
      <c r="K792" s="8" t="s">
        <v>27</v>
      </c>
      <c r="L792" s="8" t="s">
        <v>28</v>
      </c>
      <c r="M792" s="25" t="s">
        <v>137</v>
      </c>
      <c r="N792" s="6" t="s">
        <v>138</v>
      </c>
      <c r="O792" s="11">
        <v>550</v>
      </c>
      <c r="P792" s="25" t="s">
        <v>1010</v>
      </c>
      <c r="Q792" s="12" t="str">
        <f t="shared" si="166"/>
        <v>23</v>
      </c>
      <c r="R792" s="12" t="str">
        <f t="shared" si="167"/>
        <v>05</v>
      </c>
      <c r="S792" s="6" t="s">
        <v>129</v>
      </c>
      <c r="T792" s="1" t="s">
        <v>130</v>
      </c>
      <c r="U792" s="6" t="s">
        <v>142</v>
      </c>
      <c r="V792" s="1" t="s">
        <v>143</v>
      </c>
      <c r="W792" s="1" t="s">
        <v>133</v>
      </c>
      <c r="X792" s="5">
        <v>46232</v>
      </c>
      <c r="Y792" s="1">
        <f t="shared" si="168"/>
        <v>98</v>
      </c>
      <c r="Z792" s="5">
        <v>46232</v>
      </c>
      <c r="AA792" s="3"/>
      <c r="AB792" s="3"/>
      <c r="AD792" s="133" t="str">
        <f t="shared" si="159"/>
        <v>Closed In July</v>
      </c>
    </row>
    <row r="793" spans="1:30" hidden="1">
      <c r="A793" s="9">
        <v>46134</v>
      </c>
      <c r="B793" s="1">
        <v>2026</v>
      </c>
      <c r="C793" s="8" t="s">
        <v>26</v>
      </c>
      <c r="D793" s="11" t="s">
        <v>179</v>
      </c>
      <c r="E793" s="1"/>
      <c r="F793" s="1" t="s">
        <v>19</v>
      </c>
      <c r="G793" s="8" t="s">
        <v>180</v>
      </c>
      <c r="H793" s="8">
        <v>8248438488</v>
      </c>
      <c r="I793" s="10" t="s">
        <v>30</v>
      </c>
      <c r="J793" s="8" t="s">
        <v>181</v>
      </c>
      <c r="K793" s="8" t="s">
        <v>27</v>
      </c>
      <c r="L793" s="8" t="s">
        <v>28</v>
      </c>
      <c r="M793" s="25" t="s">
        <v>137</v>
      </c>
      <c r="N793" s="6" t="s">
        <v>138</v>
      </c>
      <c r="O793" s="11">
        <v>550</v>
      </c>
      <c r="P793" s="25" t="s">
        <v>1011</v>
      </c>
      <c r="Q793" s="12" t="str">
        <f t="shared" si="166"/>
        <v>23</v>
      </c>
      <c r="R793" s="12" t="str">
        <f t="shared" si="167"/>
        <v>05</v>
      </c>
      <c r="S793" s="6" t="s">
        <v>129</v>
      </c>
      <c r="T793" s="1" t="s">
        <v>130</v>
      </c>
      <c r="U793" s="6" t="s">
        <v>142</v>
      </c>
      <c r="V793" s="1" t="s">
        <v>143</v>
      </c>
      <c r="W793" s="1" t="s">
        <v>133</v>
      </c>
      <c r="X793" s="5">
        <v>46232</v>
      </c>
      <c r="Y793" s="1">
        <f t="shared" si="168"/>
        <v>98</v>
      </c>
      <c r="Z793" s="5">
        <v>46232</v>
      </c>
      <c r="AA793" s="3"/>
      <c r="AB793" s="3"/>
      <c r="AD793" s="133" t="str">
        <f t="shared" si="159"/>
        <v>Closed In July</v>
      </c>
    </row>
    <row r="794" spans="1:30" hidden="1">
      <c r="A794" s="9">
        <v>46134</v>
      </c>
      <c r="B794" s="1">
        <v>2026</v>
      </c>
      <c r="C794" s="8" t="s">
        <v>26</v>
      </c>
      <c r="D794" s="11" t="s">
        <v>179</v>
      </c>
      <c r="E794" s="1"/>
      <c r="F794" s="1" t="s">
        <v>19</v>
      </c>
      <c r="G794" s="8" t="s">
        <v>180</v>
      </c>
      <c r="H794" s="8">
        <v>8248438488</v>
      </c>
      <c r="I794" s="10" t="s">
        <v>30</v>
      </c>
      <c r="J794" s="8" t="s">
        <v>181</v>
      </c>
      <c r="K794" s="8" t="s">
        <v>27</v>
      </c>
      <c r="L794" s="8" t="s">
        <v>28</v>
      </c>
      <c r="M794" s="25" t="s">
        <v>146</v>
      </c>
      <c r="N794" s="6" t="s">
        <v>138</v>
      </c>
      <c r="O794" s="11">
        <v>550</v>
      </c>
      <c r="P794" s="25" t="s">
        <v>1012</v>
      </c>
      <c r="Q794" s="12" t="str">
        <f t="shared" si="166"/>
        <v>23</v>
      </c>
      <c r="R794" s="12" t="str">
        <f t="shared" si="167"/>
        <v>05</v>
      </c>
      <c r="S794" s="6" t="s">
        <v>129</v>
      </c>
      <c r="T794" s="1" t="s">
        <v>130</v>
      </c>
      <c r="U794" s="6" t="s">
        <v>148</v>
      </c>
      <c r="V794" s="1" t="s">
        <v>143</v>
      </c>
      <c r="W794" s="1" t="s">
        <v>133</v>
      </c>
      <c r="X794" s="5">
        <v>46232</v>
      </c>
      <c r="Y794" s="1">
        <f t="shared" si="168"/>
        <v>98</v>
      </c>
      <c r="Z794" s="5">
        <v>46232</v>
      </c>
      <c r="AA794" s="3"/>
      <c r="AB794" s="3"/>
      <c r="AD794" s="133" t="str">
        <f t="shared" si="159"/>
        <v>Closed In July</v>
      </c>
    </row>
    <row r="795" spans="1:30" hidden="1">
      <c r="A795" s="9">
        <v>46134</v>
      </c>
      <c r="B795" s="1">
        <v>2026</v>
      </c>
      <c r="C795" s="8" t="s">
        <v>26</v>
      </c>
      <c r="D795" s="11" t="s">
        <v>179</v>
      </c>
      <c r="E795" s="1"/>
      <c r="F795" s="1" t="s">
        <v>19</v>
      </c>
      <c r="G795" s="8" t="s">
        <v>180</v>
      </c>
      <c r="H795" s="8">
        <v>8248438488</v>
      </c>
      <c r="I795" s="10" t="s">
        <v>30</v>
      </c>
      <c r="J795" s="8" t="s">
        <v>181</v>
      </c>
      <c r="K795" s="8" t="s">
        <v>27</v>
      </c>
      <c r="L795" s="8" t="s">
        <v>28</v>
      </c>
      <c r="M795" s="25" t="s">
        <v>146</v>
      </c>
      <c r="N795" s="6" t="s">
        <v>138</v>
      </c>
      <c r="O795" s="11">
        <v>550</v>
      </c>
      <c r="P795" s="25" t="s">
        <v>1013</v>
      </c>
      <c r="Q795" s="12" t="str">
        <f t="shared" si="166"/>
        <v>23</v>
      </c>
      <c r="R795" s="12" t="str">
        <f t="shared" si="167"/>
        <v>05</v>
      </c>
      <c r="S795" s="6" t="s">
        <v>129</v>
      </c>
      <c r="T795" s="1" t="s">
        <v>130</v>
      </c>
      <c r="U795" s="6" t="s">
        <v>148</v>
      </c>
      <c r="V795" s="1" t="s">
        <v>143</v>
      </c>
      <c r="W795" s="1" t="s">
        <v>133</v>
      </c>
      <c r="X795" s="5">
        <v>46232</v>
      </c>
      <c r="Y795" s="1">
        <f t="shared" si="168"/>
        <v>98</v>
      </c>
      <c r="Z795" s="5">
        <v>46232</v>
      </c>
      <c r="AA795" s="3"/>
      <c r="AB795" s="3"/>
      <c r="AD795" s="133" t="str">
        <f t="shared" si="159"/>
        <v>Closed In July</v>
      </c>
    </row>
    <row r="796" spans="1:30" hidden="1">
      <c r="A796" s="9">
        <v>46134</v>
      </c>
      <c r="B796" s="1">
        <v>2026</v>
      </c>
      <c r="C796" s="8" t="s">
        <v>26</v>
      </c>
      <c r="D796" s="11" t="s">
        <v>179</v>
      </c>
      <c r="E796" s="1"/>
      <c r="F796" s="1" t="s">
        <v>19</v>
      </c>
      <c r="G796" s="8" t="s">
        <v>180</v>
      </c>
      <c r="H796" s="8">
        <v>8248438488</v>
      </c>
      <c r="I796" s="10" t="s">
        <v>30</v>
      </c>
      <c r="J796" s="8" t="s">
        <v>181</v>
      </c>
      <c r="K796" s="8" t="s">
        <v>27</v>
      </c>
      <c r="L796" s="8" t="s">
        <v>28</v>
      </c>
      <c r="M796" s="25" t="s">
        <v>137</v>
      </c>
      <c r="N796" s="6" t="s">
        <v>138</v>
      </c>
      <c r="O796" s="11">
        <v>550</v>
      </c>
      <c r="P796" s="25" t="s">
        <v>1014</v>
      </c>
      <c r="Q796" s="12" t="str">
        <f t="shared" si="166"/>
        <v>23</v>
      </c>
      <c r="R796" s="12" t="str">
        <f t="shared" si="167"/>
        <v>05</v>
      </c>
      <c r="S796" s="6" t="s">
        <v>129</v>
      </c>
      <c r="T796" s="1" t="s">
        <v>130</v>
      </c>
      <c r="U796" s="6" t="s">
        <v>142</v>
      </c>
      <c r="V796" s="1" t="s">
        <v>143</v>
      </c>
      <c r="W796" s="1" t="s">
        <v>133</v>
      </c>
      <c r="X796" s="5">
        <v>46232</v>
      </c>
      <c r="Y796" s="1">
        <f t="shared" si="168"/>
        <v>98</v>
      </c>
      <c r="Z796" s="5">
        <v>46232</v>
      </c>
      <c r="AA796" s="3"/>
      <c r="AB796" s="3"/>
      <c r="AD796" s="133" t="str">
        <f t="shared" si="159"/>
        <v>Closed In July</v>
      </c>
    </row>
    <row r="797" spans="1:30" hidden="1">
      <c r="A797" s="9">
        <v>46134</v>
      </c>
      <c r="B797" s="1">
        <v>2026</v>
      </c>
      <c r="C797" s="8" t="s">
        <v>26</v>
      </c>
      <c r="D797" s="11" t="s">
        <v>179</v>
      </c>
      <c r="E797" s="1"/>
      <c r="F797" s="1" t="s">
        <v>19</v>
      </c>
      <c r="G797" s="8" t="s">
        <v>180</v>
      </c>
      <c r="H797" s="8">
        <v>8248438488</v>
      </c>
      <c r="I797" s="10" t="s">
        <v>30</v>
      </c>
      <c r="J797" s="8" t="s">
        <v>181</v>
      </c>
      <c r="K797" s="8" t="s">
        <v>27</v>
      </c>
      <c r="L797" s="8" t="s">
        <v>28</v>
      </c>
      <c r="M797" s="25" t="s">
        <v>152</v>
      </c>
      <c r="N797" s="6" t="s">
        <v>138</v>
      </c>
      <c r="O797" s="11">
        <v>550</v>
      </c>
      <c r="P797" s="25" t="s">
        <v>1015</v>
      </c>
      <c r="Q797" s="12" t="str">
        <f t="shared" si="166"/>
        <v>23</v>
      </c>
      <c r="R797" s="12" t="str">
        <f t="shared" si="167"/>
        <v>05</v>
      </c>
      <c r="S797" s="6" t="s">
        <v>129</v>
      </c>
      <c r="T797" s="1" t="s">
        <v>130</v>
      </c>
      <c r="U797" s="6" t="s">
        <v>154</v>
      </c>
      <c r="V797" s="1" t="s">
        <v>143</v>
      </c>
      <c r="W797" s="1" t="s">
        <v>133</v>
      </c>
      <c r="X797" s="5">
        <v>46232</v>
      </c>
      <c r="Y797" s="1">
        <f t="shared" si="168"/>
        <v>98</v>
      </c>
      <c r="Z797" s="5">
        <v>46232</v>
      </c>
      <c r="AA797" s="3"/>
      <c r="AB797" s="3"/>
      <c r="AD797" s="133" t="str">
        <f t="shared" si="159"/>
        <v>Closed In July</v>
      </c>
    </row>
    <row r="798" spans="1:30" hidden="1">
      <c r="A798" s="9">
        <v>46134</v>
      </c>
      <c r="B798" s="1">
        <v>2026</v>
      </c>
      <c r="C798" s="8" t="s">
        <v>26</v>
      </c>
      <c r="D798" s="11" t="s">
        <v>179</v>
      </c>
      <c r="E798" s="1"/>
      <c r="F798" s="1" t="s">
        <v>19</v>
      </c>
      <c r="G798" s="8" t="s">
        <v>180</v>
      </c>
      <c r="H798" s="8">
        <v>8248438488</v>
      </c>
      <c r="I798" s="10" t="s">
        <v>30</v>
      </c>
      <c r="J798" s="8" t="s">
        <v>181</v>
      </c>
      <c r="K798" s="8" t="s">
        <v>27</v>
      </c>
      <c r="L798" s="8" t="s">
        <v>28</v>
      </c>
      <c r="M798" s="25" t="s">
        <v>146</v>
      </c>
      <c r="N798" s="6" t="s">
        <v>138</v>
      </c>
      <c r="O798" s="11">
        <v>550</v>
      </c>
      <c r="P798" s="25" t="s">
        <v>1016</v>
      </c>
      <c r="Q798" s="12" t="str">
        <f t="shared" si="166"/>
        <v>23</v>
      </c>
      <c r="R798" s="12" t="str">
        <f t="shared" si="167"/>
        <v>05</v>
      </c>
      <c r="S798" s="6" t="s">
        <v>129</v>
      </c>
      <c r="T798" s="1" t="s">
        <v>130</v>
      </c>
      <c r="U798" s="6" t="s">
        <v>148</v>
      </c>
      <c r="V798" s="1" t="s">
        <v>143</v>
      </c>
      <c r="W798" s="1" t="s">
        <v>133</v>
      </c>
      <c r="X798" s="5">
        <v>46232</v>
      </c>
      <c r="Y798" s="1">
        <f t="shared" si="168"/>
        <v>98</v>
      </c>
      <c r="Z798" s="5">
        <v>46232</v>
      </c>
      <c r="AA798" s="3"/>
      <c r="AB798" s="3"/>
      <c r="AD798" s="133" t="str">
        <f t="shared" si="159"/>
        <v>Closed In July</v>
      </c>
    </row>
    <row r="799" spans="1:30" hidden="1">
      <c r="A799" s="9">
        <v>46134</v>
      </c>
      <c r="B799" s="1">
        <v>2026</v>
      </c>
      <c r="C799" s="8" t="s">
        <v>26</v>
      </c>
      <c r="D799" s="11" t="s">
        <v>179</v>
      </c>
      <c r="E799" s="1"/>
      <c r="F799" s="1" t="s">
        <v>19</v>
      </c>
      <c r="G799" s="8" t="s">
        <v>180</v>
      </c>
      <c r="H799" s="8">
        <v>8248438488</v>
      </c>
      <c r="I799" s="10" t="s">
        <v>30</v>
      </c>
      <c r="J799" s="8" t="s">
        <v>181</v>
      </c>
      <c r="K799" s="8" t="s">
        <v>27</v>
      </c>
      <c r="L799" s="8" t="s">
        <v>28</v>
      </c>
      <c r="M799" s="25" t="s">
        <v>126</v>
      </c>
      <c r="N799" s="1" t="s">
        <v>127</v>
      </c>
      <c r="O799" s="11">
        <v>550</v>
      </c>
      <c r="P799" s="25" t="s">
        <v>1017</v>
      </c>
      <c r="Q799" s="12" t="str">
        <f t="shared" si="166"/>
        <v>23</v>
      </c>
      <c r="R799" s="12" t="str">
        <f t="shared" si="167"/>
        <v>05</v>
      </c>
      <c r="S799" s="6" t="s">
        <v>129</v>
      </c>
      <c r="T799" s="1" t="s">
        <v>130</v>
      </c>
      <c r="U799" s="6" t="s">
        <v>145</v>
      </c>
      <c r="V799" s="6" t="s">
        <v>132</v>
      </c>
      <c r="W799" s="1" t="s">
        <v>133</v>
      </c>
      <c r="X799" s="5">
        <v>46232</v>
      </c>
      <c r="Y799" s="1">
        <f t="shared" si="168"/>
        <v>98</v>
      </c>
      <c r="Z799" s="5">
        <v>46232</v>
      </c>
      <c r="AA799" s="3"/>
      <c r="AB799" s="3"/>
      <c r="AD799" s="133" t="str">
        <f t="shared" si="159"/>
        <v>Closed In July</v>
      </c>
    </row>
    <row r="800" spans="1:30" hidden="1">
      <c r="A800" s="9">
        <v>46134</v>
      </c>
      <c r="B800" s="1">
        <v>2026</v>
      </c>
      <c r="C800" s="8" t="s">
        <v>26</v>
      </c>
      <c r="D800" s="11" t="s">
        <v>179</v>
      </c>
      <c r="E800" s="1"/>
      <c r="F800" s="1" t="s">
        <v>19</v>
      </c>
      <c r="G800" s="8" t="s">
        <v>180</v>
      </c>
      <c r="H800" s="8">
        <v>8248438488</v>
      </c>
      <c r="I800" s="10" t="s">
        <v>30</v>
      </c>
      <c r="J800" s="8" t="s">
        <v>181</v>
      </c>
      <c r="K800" s="8" t="s">
        <v>27</v>
      </c>
      <c r="L800" s="8" t="s">
        <v>28</v>
      </c>
      <c r="M800" s="25" t="s">
        <v>152</v>
      </c>
      <c r="N800" s="6" t="s">
        <v>138</v>
      </c>
      <c r="O800" s="11">
        <v>550</v>
      </c>
      <c r="P800" s="25" t="s">
        <v>1018</v>
      </c>
      <c r="Q800" s="12" t="str">
        <f t="shared" si="166"/>
        <v>23</v>
      </c>
      <c r="R800" s="12" t="str">
        <f t="shared" si="167"/>
        <v>05</v>
      </c>
      <c r="S800" s="6" t="s">
        <v>129</v>
      </c>
      <c r="T800" s="1" t="s">
        <v>130</v>
      </c>
      <c r="U800" s="6" t="s">
        <v>154</v>
      </c>
      <c r="V800" s="1" t="s">
        <v>143</v>
      </c>
      <c r="W800" s="1" t="s">
        <v>133</v>
      </c>
      <c r="X800" s="5">
        <v>46232</v>
      </c>
      <c r="Y800" s="1">
        <f t="shared" si="168"/>
        <v>98</v>
      </c>
      <c r="Z800" s="5">
        <v>46232</v>
      </c>
      <c r="AA800" s="3"/>
      <c r="AB800" s="3"/>
      <c r="AD800" s="133" t="str">
        <f t="shared" si="159"/>
        <v>Closed In July</v>
      </c>
    </row>
    <row r="801" spans="1:30" hidden="1">
      <c r="A801" s="9">
        <v>46134</v>
      </c>
      <c r="B801" s="1">
        <v>2026</v>
      </c>
      <c r="C801" s="8" t="s">
        <v>26</v>
      </c>
      <c r="D801" s="11" t="s">
        <v>179</v>
      </c>
      <c r="E801" s="1"/>
      <c r="F801" s="1" t="s">
        <v>19</v>
      </c>
      <c r="G801" s="8" t="s">
        <v>180</v>
      </c>
      <c r="H801" s="8">
        <v>8248438488</v>
      </c>
      <c r="I801" s="10" t="s">
        <v>30</v>
      </c>
      <c r="J801" s="8" t="s">
        <v>181</v>
      </c>
      <c r="K801" s="8" t="s">
        <v>27</v>
      </c>
      <c r="L801" s="8" t="s">
        <v>28</v>
      </c>
      <c r="M801" s="25" t="s">
        <v>146</v>
      </c>
      <c r="N801" s="6" t="s">
        <v>138</v>
      </c>
      <c r="O801" s="11">
        <v>550</v>
      </c>
      <c r="P801" s="25" t="s">
        <v>1019</v>
      </c>
      <c r="Q801" s="12" t="str">
        <f t="shared" si="166"/>
        <v>23</v>
      </c>
      <c r="R801" s="12" t="str">
        <f t="shared" si="167"/>
        <v>05</v>
      </c>
      <c r="S801" s="6" t="s">
        <v>129</v>
      </c>
      <c r="T801" s="1" t="s">
        <v>130</v>
      </c>
      <c r="U801" s="6" t="s">
        <v>148</v>
      </c>
      <c r="V801" s="1" t="s">
        <v>143</v>
      </c>
      <c r="W801" s="1" t="s">
        <v>133</v>
      </c>
      <c r="X801" s="5">
        <v>46232</v>
      </c>
      <c r="Y801" s="1">
        <f t="shared" si="168"/>
        <v>98</v>
      </c>
      <c r="Z801" s="5">
        <v>46232</v>
      </c>
      <c r="AA801" s="3"/>
      <c r="AB801" s="3"/>
      <c r="AD801" s="133" t="str">
        <f t="shared" si="159"/>
        <v>Closed In July</v>
      </c>
    </row>
    <row r="802" spans="1:30" hidden="1">
      <c r="A802" s="9">
        <v>46134</v>
      </c>
      <c r="B802" s="1">
        <v>2026</v>
      </c>
      <c r="C802" s="8" t="s">
        <v>26</v>
      </c>
      <c r="D802" s="11" t="s">
        <v>179</v>
      </c>
      <c r="E802" s="1"/>
      <c r="F802" s="1" t="s">
        <v>19</v>
      </c>
      <c r="G802" s="8" t="s">
        <v>180</v>
      </c>
      <c r="H802" s="8">
        <v>8248438488</v>
      </c>
      <c r="I802" s="10" t="s">
        <v>30</v>
      </c>
      <c r="J802" s="8" t="s">
        <v>181</v>
      </c>
      <c r="K802" s="8" t="s">
        <v>27</v>
      </c>
      <c r="L802" s="8" t="s">
        <v>28</v>
      </c>
      <c r="M802" s="25" t="s">
        <v>152</v>
      </c>
      <c r="N802" s="6" t="s">
        <v>138</v>
      </c>
      <c r="O802" s="11">
        <v>550</v>
      </c>
      <c r="P802" s="25" t="s">
        <v>1020</v>
      </c>
      <c r="Q802" s="12" t="str">
        <f t="shared" si="166"/>
        <v>23</v>
      </c>
      <c r="R802" s="12" t="str">
        <f t="shared" si="167"/>
        <v>05</v>
      </c>
      <c r="S802" s="6" t="s">
        <v>129</v>
      </c>
      <c r="T802" s="1" t="s">
        <v>130</v>
      </c>
      <c r="U802" s="6" t="s">
        <v>154</v>
      </c>
      <c r="V802" s="1" t="s">
        <v>143</v>
      </c>
      <c r="W802" s="1" t="s">
        <v>133</v>
      </c>
      <c r="X802" s="5">
        <v>46232</v>
      </c>
      <c r="Y802" s="1">
        <f t="shared" si="168"/>
        <v>98</v>
      </c>
      <c r="Z802" s="5">
        <v>46232</v>
      </c>
      <c r="AA802" s="3"/>
      <c r="AB802" s="3"/>
      <c r="AD802" s="133" t="str">
        <f t="shared" si="159"/>
        <v>Closed In July</v>
      </c>
    </row>
    <row r="803" spans="1:30" hidden="1">
      <c r="A803" s="9">
        <v>46134</v>
      </c>
      <c r="B803" s="1">
        <v>2026</v>
      </c>
      <c r="C803" s="8" t="s">
        <v>26</v>
      </c>
      <c r="D803" s="11" t="s">
        <v>179</v>
      </c>
      <c r="E803" s="1"/>
      <c r="F803" s="1" t="s">
        <v>19</v>
      </c>
      <c r="G803" s="8" t="s">
        <v>180</v>
      </c>
      <c r="H803" s="8">
        <v>8248438488</v>
      </c>
      <c r="I803" s="10" t="s">
        <v>30</v>
      </c>
      <c r="J803" s="8" t="s">
        <v>181</v>
      </c>
      <c r="K803" s="8" t="s">
        <v>27</v>
      </c>
      <c r="L803" s="8" t="s">
        <v>28</v>
      </c>
      <c r="M803" s="25" t="s">
        <v>137</v>
      </c>
      <c r="N803" s="6" t="s">
        <v>138</v>
      </c>
      <c r="O803" s="11">
        <v>550</v>
      </c>
      <c r="P803" s="25" t="s">
        <v>1021</v>
      </c>
      <c r="Q803" s="12" t="str">
        <f t="shared" si="166"/>
        <v>23</v>
      </c>
      <c r="R803" s="12" t="str">
        <f t="shared" si="167"/>
        <v>05</v>
      </c>
      <c r="S803" s="6" t="s">
        <v>129</v>
      </c>
      <c r="T803" s="1" t="s">
        <v>130</v>
      </c>
      <c r="U803" s="6" t="s">
        <v>142</v>
      </c>
      <c r="V803" s="1" t="s">
        <v>143</v>
      </c>
      <c r="W803" s="1" t="s">
        <v>133</v>
      </c>
      <c r="X803" s="5">
        <v>46232</v>
      </c>
      <c r="Y803" s="1">
        <f t="shared" si="168"/>
        <v>98</v>
      </c>
      <c r="Z803" s="5">
        <v>46232</v>
      </c>
      <c r="AA803" s="3"/>
      <c r="AB803" s="3"/>
      <c r="AD803" s="133" t="str">
        <f t="shared" si="159"/>
        <v>Closed In July</v>
      </c>
    </row>
    <row r="804" spans="1:30" hidden="1">
      <c r="A804" s="9">
        <v>46134</v>
      </c>
      <c r="B804" s="1">
        <v>2026</v>
      </c>
      <c r="C804" s="8" t="s">
        <v>26</v>
      </c>
      <c r="D804" s="11" t="s">
        <v>179</v>
      </c>
      <c r="E804" s="1"/>
      <c r="F804" s="1" t="s">
        <v>19</v>
      </c>
      <c r="G804" s="8" t="s">
        <v>180</v>
      </c>
      <c r="H804" s="8">
        <v>8248438488</v>
      </c>
      <c r="I804" s="10" t="s">
        <v>30</v>
      </c>
      <c r="J804" s="8" t="s">
        <v>181</v>
      </c>
      <c r="K804" s="8" t="s">
        <v>27</v>
      </c>
      <c r="L804" s="8" t="s">
        <v>28</v>
      </c>
      <c r="M804" s="25" t="s">
        <v>146</v>
      </c>
      <c r="N804" s="6" t="s">
        <v>138</v>
      </c>
      <c r="O804" s="11">
        <v>550</v>
      </c>
      <c r="P804" s="25" t="s">
        <v>1022</v>
      </c>
      <c r="Q804" s="12" t="str">
        <f t="shared" si="166"/>
        <v>23</v>
      </c>
      <c r="R804" s="12" t="str">
        <f t="shared" si="167"/>
        <v>05</v>
      </c>
      <c r="S804" s="6" t="s">
        <v>129</v>
      </c>
      <c r="T804" s="1" t="s">
        <v>130</v>
      </c>
      <c r="U804" s="6" t="s">
        <v>148</v>
      </c>
      <c r="V804" s="1" t="s">
        <v>143</v>
      </c>
      <c r="W804" s="1" t="s">
        <v>133</v>
      </c>
      <c r="X804" s="5">
        <v>46232</v>
      </c>
      <c r="Y804" s="1">
        <f t="shared" si="168"/>
        <v>98</v>
      </c>
      <c r="Z804" s="5">
        <v>46232</v>
      </c>
      <c r="AA804" s="3"/>
      <c r="AB804" s="3"/>
      <c r="AD804" s="133" t="str">
        <f t="shared" si="159"/>
        <v>Closed In July</v>
      </c>
    </row>
    <row r="805" spans="1:30" hidden="1">
      <c r="A805" s="9">
        <v>46134</v>
      </c>
      <c r="B805" s="1">
        <v>2026</v>
      </c>
      <c r="C805" s="8" t="s">
        <v>26</v>
      </c>
      <c r="D805" s="11" t="s">
        <v>179</v>
      </c>
      <c r="E805" s="1"/>
      <c r="F805" s="1" t="s">
        <v>19</v>
      </c>
      <c r="G805" s="8" t="s">
        <v>180</v>
      </c>
      <c r="H805" s="8">
        <v>8248438488</v>
      </c>
      <c r="I805" s="10" t="s">
        <v>30</v>
      </c>
      <c r="J805" s="8" t="s">
        <v>181</v>
      </c>
      <c r="K805" s="8" t="s">
        <v>27</v>
      </c>
      <c r="L805" s="8" t="s">
        <v>28</v>
      </c>
      <c r="M805" s="25" t="s">
        <v>137</v>
      </c>
      <c r="N805" s="6" t="s">
        <v>138</v>
      </c>
      <c r="O805" s="11">
        <v>550</v>
      </c>
      <c r="P805" s="25" t="s">
        <v>1023</v>
      </c>
      <c r="Q805" s="12" t="str">
        <f t="shared" si="166"/>
        <v>23</v>
      </c>
      <c r="R805" s="12" t="str">
        <f t="shared" si="167"/>
        <v>05</v>
      </c>
      <c r="S805" s="6" t="s">
        <v>129</v>
      </c>
      <c r="T805" s="1" t="s">
        <v>130</v>
      </c>
      <c r="U805" s="6" t="s">
        <v>142</v>
      </c>
      <c r="V805" s="1" t="s">
        <v>143</v>
      </c>
      <c r="W805" s="1" t="s">
        <v>133</v>
      </c>
      <c r="X805" s="5">
        <v>46232</v>
      </c>
      <c r="Y805" s="1">
        <f t="shared" si="168"/>
        <v>98</v>
      </c>
      <c r="Z805" s="5">
        <v>46232</v>
      </c>
      <c r="AA805" s="3"/>
      <c r="AB805" s="3"/>
      <c r="AD805" s="133" t="str">
        <f t="shared" si="159"/>
        <v>Closed In July</v>
      </c>
    </row>
    <row r="806" spans="1:30" hidden="1">
      <c r="A806" s="9">
        <v>46134</v>
      </c>
      <c r="B806" s="1">
        <v>2026</v>
      </c>
      <c r="C806" s="8" t="s">
        <v>26</v>
      </c>
      <c r="D806" s="11" t="s">
        <v>179</v>
      </c>
      <c r="E806" s="1"/>
      <c r="F806" s="1" t="s">
        <v>19</v>
      </c>
      <c r="G806" s="8" t="s">
        <v>180</v>
      </c>
      <c r="H806" s="8">
        <v>8248438488</v>
      </c>
      <c r="I806" s="10" t="s">
        <v>30</v>
      </c>
      <c r="J806" s="8" t="s">
        <v>181</v>
      </c>
      <c r="K806" s="8" t="s">
        <v>27</v>
      </c>
      <c r="L806" s="8" t="s">
        <v>28</v>
      </c>
      <c r="M806" s="25" t="s">
        <v>308</v>
      </c>
      <c r="N806" s="1" t="s">
        <v>127</v>
      </c>
      <c r="O806" s="11">
        <v>550</v>
      </c>
      <c r="P806" s="25" t="s">
        <v>1024</v>
      </c>
      <c r="Q806" s="12" t="str">
        <f t="shared" si="166"/>
        <v>23</v>
      </c>
      <c r="R806" s="12" t="str">
        <f t="shared" si="167"/>
        <v>05</v>
      </c>
      <c r="S806" s="6" t="s">
        <v>129</v>
      </c>
      <c r="T806" s="1" t="s">
        <v>130</v>
      </c>
      <c r="U806" s="6" t="s">
        <v>310</v>
      </c>
      <c r="V806" s="6" t="s">
        <v>132</v>
      </c>
      <c r="W806" s="1" t="s">
        <v>133</v>
      </c>
      <c r="X806" s="5">
        <v>46232</v>
      </c>
      <c r="Y806" s="1">
        <f t="shared" si="168"/>
        <v>98</v>
      </c>
      <c r="Z806" s="5">
        <v>46232</v>
      </c>
      <c r="AA806" s="3"/>
      <c r="AB806" s="3"/>
      <c r="AD806" s="133" t="str">
        <f t="shared" si="159"/>
        <v>Closed In July</v>
      </c>
    </row>
    <row r="807" spans="1:30" hidden="1">
      <c r="A807" s="9">
        <v>46134</v>
      </c>
      <c r="B807" s="1">
        <v>2026</v>
      </c>
      <c r="C807" s="8" t="s">
        <v>26</v>
      </c>
      <c r="D807" s="11" t="s">
        <v>179</v>
      </c>
      <c r="E807" s="1"/>
      <c r="F807" s="1" t="s">
        <v>19</v>
      </c>
      <c r="G807" s="8" t="s">
        <v>180</v>
      </c>
      <c r="H807" s="8">
        <v>8248438488</v>
      </c>
      <c r="I807" s="10" t="s">
        <v>30</v>
      </c>
      <c r="J807" s="8" t="s">
        <v>181</v>
      </c>
      <c r="K807" s="8" t="s">
        <v>27</v>
      </c>
      <c r="L807" s="8" t="s">
        <v>28</v>
      </c>
      <c r="M807" s="25" t="s">
        <v>137</v>
      </c>
      <c r="N807" s="6" t="s">
        <v>138</v>
      </c>
      <c r="O807" s="11">
        <v>550</v>
      </c>
      <c r="P807" s="25" t="s">
        <v>1025</v>
      </c>
      <c r="Q807" s="12" t="str">
        <f t="shared" si="166"/>
        <v>23</v>
      </c>
      <c r="R807" s="12" t="str">
        <f t="shared" si="167"/>
        <v>05</v>
      </c>
      <c r="S807" s="6" t="s">
        <v>129</v>
      </c>
      <c r="T807" s="1" t="s">
        <v>130</v>
      </c>
      <c r="U807" s="6" t="s">
        <v>142</v>
      </c>
      <c r="V807" s="1" t="s">
        <v>143</v>
      </c>
      <c r="W807" s="1" t="s">
        <v>133</v>
      </c>
      <c r="X807" s="5">
        <v>46232</v>
      </c>
      <c r="Y807" s="1">
        <f t="shared" si="168"/>
        <v>98</v>
      </c>
      <c r="Z807" s="5">
        <v>46232</v>
      </c>
      <c r="AA807" s="3"/>
      <c r="AB807" s="3"/>
      <c r="AD807" s="133" t="str">
        <f t="shared" si="159"/>
        <v>Closed In July</v>
      </c>
    </row>
    <row r="808" spans="1:30" hidden="1">
      <c r="A808" s="9">
        <v>46134</v>
      </c>
      <c r="B808" s="1">
        <v>2026</v>
      </c>
      <c r="C808" s="8" t="s">
        <v>26</v>
      </c>
      <c r="D808" s="11" t="s">
        <v>179</v>
      </c>
      <c r="E808" s="1"/>
      <c r="F808" s="1" t="s">
        <v>19</v>
      </c>
      <c r="G808" s="8" t="s">
        <v>180</v>
      </c>
      <c r="H808" s="8">
        <v>8248438488</v>
      </c>
      <c r="I808" s="10" t="s">
        <v>30</v>
      </c>
      <c r="J808" s="8" t="s">
        <v>181</v>
      </c>
      <c r="K808" s="8" t="s">
        <v>27</v>
      </c>
      <c r="L808" s="8" t="s">
        <v>28</v>
      </c>
      <c r="M808" s="25" t="s">
        <v>137</v>
      </c>
      <c r="N808" s="6" t="s">
        <v>138</v>
      </c>
      <c r="O808" s="11">
        <v>550</v>
      </c>
      <c r="P808" s="25" t="s">
        <v>1026</v>
      </c>
      <c r="Q808" s="12" t="str">
        <f t="shared" si="166"/>
        <v>23</v>
      </c>
      <c r="R808" s="12" t="str">
        <f t="shared" si="167"/>
        <v>05</v>
      </c>
      <c r="S808" s="6" t="s">
        <v>129</v>
      </c>
      <c r="T808" s="1" t="s">
        <v>130</v>
      </c>
      <c r="U808" s="6" t="s">
        <v>142</v>
      </c>
      <c r="V808" s="1" t="s">
        <v>143</v>
      </c>
      <c r="W808" s="1" t="s">
        <v>133</v>
      </c>
      <c r="X808" s="5">
        <v>46232</v>
      </c>
      <c r="Y808" s="1">
        <f t="shared" si="168"/>
        <v>98</v>
      </c>
      <c r="Z808" s="5">
        <v>46232</v>
      </c>
      <c r="AA808" s="3"/>
      <c r="AB808" s="3"/>
      <c r="AD808" s="133" t="str">
        <f t="shared" si="159"/>
        <v>Closed In July</v>
      </c>
    </row>
    <row r="809" spans="1:30" hidden="1">
      <c r="A809" s="9">
        <v>46134</v>
      </c>
      <c r="B809" s="1">
        <v>2026</v>
      </c>
      <c r="C809" s="8" t="s">
        <v>26</v>
      </c>
      <c r="D809" s="11" t="s">
        <v>179</v>
      </c>
      <c r="E809" s="1"/>
      <c r="F809" s="1" t="s">
        <v>19</v>
      </c>
      <c r="G809" s="8" t="s">
        <v>180</v>
      </c>
      <c r="H809" s="8">
        <v>8248438488</v>
      </c>
      <c r="I809" s="10" t="s">
        <v>30</v>
      </c>
      <c r="J809" s="8" t="s">
        <v>181</v>
      </c>
      <c r="K809" s="8" t="s">
        <v>27</v>
      </c>
      <c r="L809" s="8" t="s">
        <v>28</v>
      </c>
      <c r="M809" s="25" t="s">
        <v>137</v>
      </c>
      <c r="N809" s="6" t="s">
        <v>138</v>
      </c>
      <c r="O809" s="11">
        <v>550</v>
      </c>
      <c r="P809" s="25" t="s">
        <v>1027</v>
      </c>
      <c r="Q809" s="12" t="str">
        <f t="shared" si="166"/>
        <v>23</v>
      </c>
      <c r="R809" s="12" t="str">
        <f t="shared" si="167"/>
        <v>05</v>
      </c>
      <c r="S809" s="6" t="s">
        <v>129</v>
      </c>
      <c r="T809" s="1" t="s">
        <v>130</v>
      </c>
      <c r="U809" s="6" t="s">
        <v>142</v>
      </c>
      <c r="V809" s="1" t="s">
        <v>143</v>
      </c>
      <c r="W809" s="1" t="s">
        <v>133</v>
      </c>
      <c r="X809" s="5">
        <v>46232</v>
      </c>
      <c r="Y809" s="1">
        <f t="shared" si="168"/>
        <v>98</v>
      </c>
      <c r="Z809" s="5">
        <v>46232</v>
      </c>
      <c r="AA809" s="3"/>
      <c r="AB809" s="3"/>
      <c r="AD809" s="133" t="str">
        <f t="shared" si="159"/>
        <v>Closed In July</v>
      </c>
    </row>
    <row r="810" spans="1:30" hidden="1">
      <c r="A810" s="9">
        <v>46134</v>
      </c>
      <c r="B810" s="1">
        <v>2026</v>
      </c>
      <c r="C810" s="8" t="s">
        <v>26</v>
      </c>
      <c r="D810" s="11" t="s">
        <v>179</v>
      </c>
      <c r="E810" s="1"/>
      <c r="F810" s="1" t="s">
        <v>19</v>
      </c>
      <c r="G810" s="8" t="s">
        <v>180</v>
      </c>
      <c r="H810" s="8">
        <v>8248438488</v>
      </c>
      <c r="I810" s="10" t="s">
        <v>30</v>
      </c>
      <c r="J810" s="8" t="s">
        <v>181</v>
      </c>
      <c r="K810" s="8" t="s">
        <v>27</v>
      </c>
      <c r="L810" s="8" t="s">
        <v>28</v>
      </c>
      <c r="M810" s="25" t="s">
        <v>137</v>
      </c>
      <c r="N810" s="6" t="s">
        <v>138</v>
      </c>
      <c r="O810" s="11">
        <v>550</v>
      </c>
      <c r="P810" s="25" t="s">
        <v>1028</v>
      </c>
      <c r="Q810" s="12" t="str">
        <f t="shared" si="166"/>
        <v>23</v>
      </c>
      <c r="R810" s="12" t="str">
        <f t="shared" si="167"/>
        <v>05</v>
      </c>
      <c r="S810" s="6" t="s">
        <v>129</v>
      </c>
      <c r="T810" s="1" t="s">
        <v>130</v>
      </c>
      <c r="U810" s="6" t="s">
        <v>142</v>
      </c>
      <c r="V810" s="1" t="s">
        <v>143</v>
      </c>
      <c r="W810" s="1" t="s">
        <v>133</v>
      </c>
      <c r="X810" s="5">
        <v>46232</v>
      </c>
      <c r="Y810" s="1">
        <f t="shared" si="168"/>
        <v>98</v>
      </c>
      <c r="Z810" s="5">
        <v>46232</v>
      </c>
      <c r="AA810" s="3"/>
      <c r="AB810" s="3"/>
      <c r="AD810" s="133" t="str">
        <f t="shared" si="159"/>
        <v>Closed In July</v>
      </c>
    </row>
    <row r="811" spans="1:30" hidden="1">
      <c r="A811" s="9">
        <v>46134</v>
      </c>
      <c r="B811" s="1">
        <v>2026</v>
      </c>
      <c r="C811" s="8" t="s">
        <v>26</v>
      </c>
      <c r="D811" s="11" t="s">
        <v>179</v>
      </c>
      <c r="E811" s="1"/>
      <c r="F811" s="1" t="s">
        <v>19</v>
      </c>
      <c r="G811" s="8" t="s">
        <v>180</v>
      </c>
      <c r="H811" s="8">
        <v>8248438488</v>
      </c>
      <c r="I811" s="10" t="s">
        <v>30</v>
      </c>
      <c r="J811" s="8" t="s">
        <v>181</v>
      </c>
      <c r="K811" s="8" t="s">
        <v>27</v>
      </c>
      <c r="L811" s="8" t="s">
        <v>28</v>
      </c>
      <c r="M811" s="25" t="s">
        <v>137</v>
      </c>
      <c r="N811" s="6" t="s">
        <v>138</v>
      </c>
      <c r="O811" s="11">
        <v>550</v>
      </c>
      <c r="P811" s="25" t="s">
        <v>1029</v>
      </c>
      <c r="Q811" s="12" t="str">
        <f t="shared" si="166"/>
        <v>23</v>
      </c>
      <c r="R811" s="12" t="str">
        <f t="shared" si="167"/>
        <v>05</v>
      </c>
      <c r="S811" s="6" t="s">
        <v>129</v>
      </c>
      <c r="T811" s="1" t="s">
        <v>130</v>
      </c>
      <c r="U811" s="6" t="s">
        <v>142</v>
      </c>
      <c r="V811" s="1" t="s">
        <v>143</v>
      </c>
      <c r="W811" s="1" t="s">
        <v>133</v>
      </c>
      <c r="X811" s="5">
        <v>46232</v>
      </c>
      <c r="Y811" s="1">
        <f t="shared" si="168"/>
        <v>98</v>
      </c>
      <c r="Z811" s="5">
        <v>46232</v>
      </c>
      <c r="AA811" s="3"/>
      <c r="AB811" s="3"/>
      <c r="AD811" s="133" t="str">
        <f t="shared" si="159"/>
        <v>Closed In July</v>
      </c>
    </row>
    <row r="812" spans="1:30" hidden="1">
      <c r="A812" s="9">
        <v>46134</v>
      </c>
      <c r="B812" s="1">
        <v>2026</v>
      </c>
      <c r="C812" s="8" t="s">
        <v>26</v>
      </c>
      <c r="D812" s="11" t="s">
        <v>179</v>
      </c>
      <c r="E812" s="1"/>
      <c r="F812" s="1" t="s">
        <v>19</v>
      </c>
      <c r="G812" s="8" t="s">
        <v>180</v>
      </c>
      <c r="H812" s="8">
        <v>8248438488</v>
      </c>
      <c r="I812" s="10" t="s">
        <v>30</v>
      </c>
      <c r="J812" s="8" t="s">
        <v>181</v>
      </c>
      <c r="K812" s="8" t="s">
        <v>27</v>
      </c>
      <c r="L812" s="8" t="s">
        <v>28</v>
      </c>
      <c r="M812" s="25" t="s">
        <v>146</v>
      </c>
      <c r="N812" s="6" t="s">
        <v>138</v>
      </c>
      <c r="O812" s="11">
        <v>550</v>
      </c>
      <c r="P812" s="25" t="s">
        <v>1030</v>
      </c>
      <c r="Q812" s="12" t="str">
        <f t="shared" si="166"/>
        <v>23</v>
      </c>
      <c r="R812" s="12" t="str">
        <f t="shared" si="167"/>
        <v>05</v>
      </c>
      <c r="S812" s="6" t="s">
        <v>129</v>
      </c>
      <c r="T812" s="1" t="s">
        <v>130</v>
      </c>
      <c r="U812" s="6" t="s">
        <v>148</v>
      </c>
      <c r="V812" s="1" t="s">
        <v>143</v>
      </c>
      <c r="W812" s="1" t="s">
        <v>133</v>
      </c>
      <c r="X812" s="5">
        <v>46232</v>
      </c>
      <c r="Y812" s="1">
        <f t="shared" si="168"/>
        <v>98</v>
      </c>
      <c r="Z812" s="5">
        <v>46232</v>
      </c>
      <c r="AA812" s="3"/>
      <c r="AB812" s="3"/>
      <c r="AD812" s="133" t="str">
        <f t="shared" si="159"/>
        <v>Closed In July</v>
      </c>
    </row>
    <row r="813" spans="1:30" hidden="1">
      <c r="A813" s="9">
        <v>46134</v>
      </c>
      <c r="B813" s="1">
        <v>2026</v>
      </c>
      <c r="C813" s="8" t="s">
        <v>26</v>
      </c>
      <c r="D813" s="11" t="s">
        <v>179</v>
      </c>
      <c r="E813" s="1"/>
      <c r="F813" s="1" t="s">
        <v>19</v>
      </c>
      <c r="G813" s="8" t="s">
        <v>180</v>
      </c>
      <c r="H813" s="8">
        <v>8248438488</v>
      </c>
      <c r="I813" s="10" t="s">
        <v>30</v>
      </c>
      <c r="J813" s="8" t="s">
        <v>181</v>
      </c>
      <c r="K813" s="8" t="s">
        <v>27</v>
      </c>
      <c r="L813" s="8" t="s">
        <v>28</v>
      </c>
      <c r="M813" s="25" t="s">
        <v>137</v>
      </c>
      <c r="N813" s="6" t="s">
        <v>138</v>
      </c>
      <c r="O813" s="11">
        <v>550</v>
      </c>
      <c r="P813" s="25" t="s">
        <v>1031</v>
      </c>
      <c r="Q813" s="12" t="str">
        <f t="shared" si="166"/>
        <v>23</v>
      </c>
      <c r="R813" s="12" t="str">
        <f t="shared" si="167"/>
        <v>05</v>
      </c>
      <c r="S813" s="6" t="s">
        <v>129</v>
      </c>
      <c r="T813" s="1" t="s">
        <v>130</v>
      </c>
      <c r="U813" s="6" t="s">
        <v>142</v>
      </c>
      <c r="V813" s="1" t="s">
        <v>143</v>
      </c>
      <c r="W813" s="1" t="s">
        <v>133</v>
      </c>
      <c r="X813" s="5">
        <v>46232</v>
      </c>
      <c r="Y813" s="1">
        <f t="shared" si="168"/>
        <v>98</v>
      </c>
      <c r="Z813" s="5">
        <v>46232</v>
      </c>
      <c r="AA813" s="3"/>
      <c r="AB813" s="3"/>
      <c r="AD813" s="133" t="str">
        <f t="shared" si="159"/>
        <v>Closed In July</v>
      </c>
    </row>
    <row r="814" spans="1:30" hidden="1">
      <c r="A814" s="21">
        <v>46230</v>
      </c>
      <c r="B814" s="1">
        <v>2026</v>
      </c>
      <c r="C814" s="33" t="s">
        <v>62</v>
      </c>
      <c r="D814" s="34" t="s">
        <v>123</v>
      </c>
      <c r="E814" s="1"/>
      <c r="F814" s="1" t="s">
        <v>19</v>
      </c>
      <c r="G814" s="51" t="s">
        <v>987</v>
      </c>
      <c r="H814" s="18">
        <v>8976895391</v>
      </c>
      <c r="I814" s="42" t="s">
        <v>90</v>
      </c>
      <c r="J814" s="8" t="s">
        <v>1032</v>
      </c>
      <c r="K814" s="8" t="s">
        <v>89</v>
      </c>
      <c r="L814" s="8" t="s">
        <v>35</v>
      </c>
      <c r="M814" s="2" t="s">
        <v>1033</v>
      </c>
      <c r="N814" s="1" t="s">
        <v>127</v>
      </c>
      <c r="O814" s="11">
        <v>600</v>
      </c>
      <c r="P814" s="2" t="s">
        <v>1034</v>
      </c>
      <c r="Q814" s="12" t="str">
        <f t="shared" ref="Q814:Q817" si="169">MID(P814,5,2)</f>
        <v>26</v>
      </c>
      <c r="R814" s="12" t="str">
        <f t="shared" ref="R814:R817" si="170">MID(P814,7,2)</f>
        <v>06</v>
      </c>
      <c r="S814" s="6" t="s">
        <v>140</v>
      </c>
      <c r="T814" s="1" t="s">
        <v>474</v>
      </c>
      <c r="U814" s="6" t="s">
        <v>1035</v>
      </c>
      <c r="V814" s="6" t="s">
        <v>132</v>
      </c>
      <c r="W814" s="1" t="s">
        <v>133</v>
      </c>
      <c r="X814" s="5">
        <v>46232</v>
      </c>
      <c r="Y814" s="1">
        <f t="shared" ref="Y814:Y817" si="171">X814-A814</f>
        <v>2</v>
      </c>
      <c r="Z814" s="5">
        <v>46232</v>
      </c>
      <c r="AA814" s="3"/>
      <c r="AB814" s="3"/>
      <c r="AD814" s="133" t="str">
        <f t="shared" si="159"/>
        <v>Closed In July</v>
      </c>
    </row>
    <row r="815" spans="1:30" hidden="1">
      <c r="A815" s="21">
        <v>46199</v>
      </c>
      <c r="B815" s="1">
        <v>2026</v>
      </c>
      <c r="C815" s="8" t="s">
        <v>43</v>
      </c>
      <c r="D815" s="8" t="s">
        <v>459</v>
      </c>
      <c r="E815" s="1"/>
      <c r="F815" s="1" t="s">
        <v>19</v>
      </c>
      <c r="G815" s="8" t="s">
        <v>497</v>
      </c>
      <c r="H815" s="8">
        <v>7719846027</v>
      </c>
      <c r="I815" s="10" t="s">
        <v>93</v>
      </c>
      <c r="J815" s="8" t="s">
        <v>125</v>
      </c>
      <c r="K815" s="52" t="s">
        <v>91</v>
      </c>
      <c r="L815" s="8" t="s">
        <v>58</v>
      </c>
      <c r="M815" s="8" t="s">
        <v>1036</v>
      </c>
      <c r="N815" s="8" t="s">
        <v>1111</v>
      </c>
      <c r="O815" s="8">
        <v>540</v>
      </c>
      <c r="P815" s="2" t="s">
        <v>1037</v>
      </c>
      <c r="Q815" s="12" t="str">
        <f t="shared" si="169"/>
        <v>22</v>
      </c>
      <c r="R815" s="12" t="str">
        <f t="shared" si="170"/>
        <v>07</v>
      </c>
      <c r="S815" s="6" t="s">
        <v>129</v>
      </c>
      <c r="T815" s="1" t="s">
        <v>130</v>
      </c>
      <c r="U815" s="8" t="s">
        <v>1036</v>
      </c>
      <c r="V815" s="6" t="s">
        <v>515</v>
      </c>
      <c r="W815" s="1" t="s">
        <v>259</v>
      </c>
      <c r="X815" s="5">
        <v>46234</v>
      </c>
      <c r="Y815" s="1">
        <f t="shared" ref="Y815:Y816" si="172">X815-A815</f>
        <v>35</v>
      </c>
      <c r="Z815" s="5">
        <v>46234</v>
      </c>
      <c r="AA815" s="3"/>
      <c r="AB815" s="3"/>
      <c r="AD815" s="133" t="str">
        <f t="shared" si="159"/>
        <v>Closed In July</v>
      </c>
    </row>
    <row r="816" spans="1:30" hidden="1">
      <c r="A816" s="21">
        <v>46199</v>
      </c>
      <c r="B816" s="1">
        <v>2026</v>
      </c>
      <c r="C816" s="8" t="s">
        <v>43</v>
      </c>
      <c r="D816" s="8" t="s">
        <v>459</v>
      </c>
      <c r="E816" s="1"/>
      <c r="F816" s="1" t="s">
        <v>19</v>
      </c>
      <c r="G816" s="8" t="s">
        <v>497</v>
      </c>
      <c r="H816" s="8">
        <v>7719846027</v>
      </c>
      <c r="I816" s="10" t="s">
        <v>93</v>
      </c>
      <c r="J816" s="8" t="s">
        <v>125</v>
      </c>
      <c r="K816" s="52" t="s">
        <v>91</v>
      </c>
      <c r="L816" s="8" t="s">
        <v>58</v>
      </c>
      <c r="M816" s="8" t="s">
        <v>1036</v>
      </c>
      <c r="N816" s="8" t="s">
        <v>1111</v>
      </c>
      <c r="O816" s="8">
        <v>540</v>
      </c>
      <c r="P816" s="2" t="s">
        <v>1038</v>
      </c>
      <c r="Q816" s="12" t="str">
        <f t="shared" si="169"/>
        <v>22</v>
      </c>
      <c r="R816" s="12" t="str">
        <f t="shared" si="170"/>
        <v>07</v>
      </c>
      <c r="S816" s="6" t="s">
        <v>129</v>
      </c>
      <c r="T816" s="1" t="s">
        <v>130</v>
      </c>
      <c r="U816" s="8" t="s">
        <v>1036</v>
      </c>
      <c r="V816" s="6" t="s">
        <v>515</v>
      </c>
      <c r="W816" s="1" t="s">
        <v>259</v>
      </c>
      <c r="X816" s="5">
        <v>46234</v>
      </c>
      <c r="Y816" s="1">
        <f t="shared" si="172"/>
        <v>35</v>
      </c>
      <c r="Z816" s="5">
        <v>46234</v>
      </c>
      <c r="AA816" s="3"/>
      <c r="AB816" s="3"/>
      <c r="AD816" s="133" t="str">
        <f t="shared" si="159"/>
        <v>Closed In July</v>
      </c>
    </row>
    <row r="817" spans="1:30" hidden="1">
      <c r="A817" s="9">
        <v>46134</v>
      </c>
      <c r="B817" s="1">
        <v>2026</v>
      </c>
      <c r="C817" s="8" t="s">
        <v>26</v>
      </c>
      <c r="D817" s="11" t="s">
        <v>179</v>
      </c>
      <c r="E817" s="1"/>
      <c r="F817" s="1" t="s">
        <v>19</v>
      </c>
      <c r="G817" s="8" t="s">
        <v>180</v>
      </c>
      <c r="H817" s="8">
        <v>8248438488</v>
      </c>
      <c r="I817" s="10" t="s">
        <v>30</v>
      </c>
      <c r="J817" s="8" t="s">
        <v>181</v>
      </c>
      <c r="K817" s="8" t="s">
        <v>27</v>
      </c>
      <c r="L817" s="8" t="s">
        <v>28</v>
      </c>
      <c r="M817" s="2" t="s">
        <v>146</v>
      </c>
      <c r="N817" s="6" t="s">
        <v>138</v>
      </c>
      <c r="O817" s="11">
        <v>550</v>
      </c>
      <c r="P817" s="2" t="s">
        <v>1039</v>
      </c>
      <c r="Q817" s="12" t="str">
        <f t="shared" si="169"/>
        <v>23</v>
      </c>
      <c r="R817" s="12" t="str">
        <f t="shared" si="170"/>
        <v>05</v>
      </c>
      <c r="S817" s="6" t="s">
        <v>129</v>
      </c>
      <c r="T817" s="1" t="s">
        <v>130</v>
      </c>
      <c r="U817" s="6" t="s">
        <v>148</v>
      </c>
      <c r="V817" s="1" t="s">
        <v>143</v>
      </c>
      <c r="W817" s="1" t="s">
        <v>133</v>
      </c>
      <c r="X817" s="5">
        <v>46233</v>
      </c>
      <c r="Y817" s="1">
        <f t="shared" si="171"/>
        <v>99</v>
      </c>
      <c r="Z817" s="5">
        <v>46233</v>
      </c>
      <c r="AA817" s="3"/>
      <c r="AB817" s="3"/>
      <c r="AD817" s="133" t="str">
        <f t="shared" si="159"/>
        <v>Closed In July</v>
      </c>
    </row>
    <row r="818" spans="1:30" hidden="1">
      <c r="A818" s="9">
        <v>46134</v>
      </c>
      <c r="B818" s="1">
        <v>2026</v>
      </c>
      <c r="C818" s="8" t="s">
        <v>26</v>
      </c>
      <c r="D818" s="11" t="s">
        <v>179</v>
      </c>
      <c r="E818" s="1"/>
      <c r="F818" s="1" t="s">
        <v>19</v>
      </c>
      <c r="G818" s="8" t="s">
        <v>180</v>
      </c>
      <c r="H818" s="8">
        <v>8248438488</v>
      </c>
      <c r="I818" s="10" t="s">
        <v>30</v>
      </c>
      <c r="J818" s="8" t="s">
        <v>181</v>
      </c>
      <c r="K818" s="8" t="s">
        <v>27</v>
      </c>
      <c r="L818" s="8" t="s">
        <v>28</v>
      </c>
      <c r="M818" s="2" t="s">
        <v>146</v>
      </c>
      <c r="N818" s="6" t="s">
        <v>138</v>
      </c>
      <c r="O818" s="11">
        <v>550</v>
      </c>
      <c r="P818" s="2" t="s">
        <v>1040</v>
      </c>
      <c r="Q818" s="12" t="str">
        <f t="shared" ref="Q818:Q830" si="173">MID(P818,5,2)</f>
        <v>23</v>
      </c>
      <c r="R818" s="12" t="str">
        <f t="shared" ref="R818:R830" si="174">MID(P818,7,2)</f>
        <v>06</v>
      </c>
      <c r="S818" s="6" t="s">
        <v>129</v>
      </c>
      <c r="T818" s="1" t="s">
        <v>130</v>
      </c>
      <c r="U818" s="6" t="s">
        <v>148</v>
      </c>
      <c r="V818" s="1" t="s">
        <v>143</v>
      </c>
      <c r="W818" s="1" t="s">
        <v>133</v>
      </c>
      <c r="X818" s="5">
        <v>46233</v>
      </c>
      <c r="Y818" s="1">
        <f t="shared" ref="Y818:Y830" si="175">X818-A818</f>
        <v>99</v>
      </c>
      <c r="Z818" s="5">
        <v>46233</v>
      </c>
      <c r="AA818" s="3"/>
      <c r="AB818" s="3"/>
      <c r="AD818" s="133" t="str">
        <f t="shared" si="159"/>
        <v>Closed In July</v>
      </c>
    </row>
    <row r="819" spans="1:30" hidden="1">
      <c r="A819" s="9">
        <v>46134</v>
      </c>
      <c r="B819" s="1">
        <v>2026</v>
      </c>
      <c r="C819" s="8" t="s">
        <v>26</v>
      </c>
      <c r="D819" s="11" t="s">
        <v>179</v>
      </c>
      <c r="E819" s="1"/>
      <c r="F819" s="1" t="s">
        <v>19</v>
      </c>
      <c r="G819" s="8" t="s">
        <v>180</v>
      </c>
      <c r="H819" s="8">
        <v>8248438488</v>
      </c>
      <c r="I819" s="10" t="s">
        <v>30</v>
      </c>
      <c r="J819" s="8" t="s">
        <v>181</v>
      </c>
      <c r="K819" s="8" t="s">
        <v>27</v>
      </c>
      <c r="L819" s="8" t="s">
        <v>28</v>
      </c>
      <c r="M819" s="2" t="s">
        <v>146</v>
      </c>
      <c r="N819" s="6" t="s">
        <v>138</v>
      </c>
      <c r="O819" s="11">
        <v>550</v>
      </c>
      <c r="P819" s="2" t="s">
        <v>1041</v>
      </c>
      <c r="Q819" s="12" t="str">
        <f t="shared" si="173"/>
        <v>23</v>
      </c>
      <c r="R819" s="12" t="str">
        <f t="shared" si="174"/>
        <v>06</v>
      </c>
      <c r="S819" s="6" t="s">
        <v>129</v>
      </c>
      <c r="T819" s="1" t="s">
        <v>130</v>
      </c>
      <c r="U819" s="6" t="s">
        <v>148</v>
      </c>
      <c r="V819" s="1" t="s">
        <v>143</v>
      </c>
      <c r="W819" s="1" t="s">
        <v>133</v>
      </c>
      <c r="X819" s="5">
        <v>46233</v>
      </c>
      <c r="Y819" s="1">
        <f t="shared" si="175"/>
        <v>99</v>
      </c>
      <c r="Z819" s="5">
        <v>46233</v>
      </c>
      <c r="AA819" s="3"/>
      <c r="AB819" s="3"/>
      <c r="AD819" s="133" t="str">
        <f t="shared" si="159"/>
        <v>Closed In July</v>
      </c>
    </row>
    <row r="820" spans="1:30" hidden="1">
      <c r="A820" s="9">
        <v>46134</v>
      </c>
      <c r="B820" s="1">
        <v>2026</v>
      </c>
      <c r="C820" s="8" t="s">
        <v>26</v>
      </c>
      <c r="D820" s="11" t="s">
        <v>179</v>
      </c>
      <c r="E820" s="1"/>
      <c r="F820" s="1" t="s">
        <v>19</v>
      </c>
      <c r="G820" s="8" t="s">
        <v>180</v>
      </c>
      <c r="H820" s="8">
        <v>8248438488</v>
      </c>
      <c r="I820" s="10" t="s">
        <v>30</v>
      </c>
      <c r="J820" s="8" t="s">
        <v>181</v>
      </c>
      <c r="K820" s="8" t="s">
        <v>27</v>
      </c>
      <c r="L820" s="8" t="s">
        <v>28</v>
      </c>
      <c r="M820" s="2" t="s">
        <v>146</v>
      </c>
      <c r="N820" s="6" t="s">
        <v>138</v>
      </c>
      <c r="O820" s="11">
        <v>550</v>
      </c>
      <c r="P820" s="2" t="s">
        <v>1042</v>
      </c>
      <c r="Q820" s="12" t="str">
        <f t="shared" si="173"/>
        <v>23</v>
      </c>
      <c r="R820" s="12" t="str">
        <f t="shared" si="174"/>
        <v>05</v>
      </c>
      <c r="S820" s="6" t="s">
        <v>129</v>
      </c>
      <c r="T820" s="1" t="s">
        <v>130</v>
      </c>
      <c r="U820" s="6" t="s">
        <v>148</v>
      </c>
      <c r="V820" s="1" t="s">
        <v>143</v>
      </c>
      <c r="W820" s="1" t="s">
        <v>133</v>
      </c>
      <c r="X820" s="5">
        <v>46233</v>
      </c>
      <c r="Y820" s="1">
        <f t="shared" si="175"/>
        <v>99</v>
      </c>
      <c r="Z820" s="5">
        <v>46233</v>
      </c>
      <c r="AA820" s="3"/>
      <c r="AB820" s="3"/>
      <c r="AD820" s="133" t="str">
        <f t="shared" si="159"/>
        <v>Closed In July</v>
      </c>
    </row>
    <row r="821" spans="1:30" hidden="1">
      <c r="A821" s="9">
        <v>46134</v>
      </c>
      <c r="B821" s="1">
        <v>2026</v>
      </c>
      <c r="C821" s="8" t="s">
        <v>26</v>
      </c>
      <c r="D821" s="11" t="s">
        <v>179</v>
      </c>
      <c r="E821" s="1"/>
      <c r="F821" s="1" t="s">
        <v>19</v>
      </c>
      <c r="G821" s="8" t="s">
        <v>180</v>
      </c>
      <c r="H821" s="8">
        <v>8248438488</v>
      </c>
      <c r="I821" s="10" t="s">
        <v>30</v>
      </c>
      <c r="J821" s="8" t="s">
        <v>181</v>
      </c>
      <c r="K821" s="8" t="s">
        <v>27</v>
      </c>
      <c r="L821" s="8" t="s">
        <v>28</v>
      </c>
      <c r="M821" s="2" t="s">
        <v>146</v>
      </c>
      <c r="N821" s="6" t="s">
        <v>138</v>
      </c>
      <c r="O821" s="11">
        <v>550</v>
      </c>
      <c r="P821" s="2" t="s">
        <v>1043</v>
      </c>
      <c r="Q821" s="12" t="str">
        <f t="shared" si="173"/>
        <v>23</v>
      </c>
      <c r="R821" s="12" t="str">
        <f t="shared" si="174"/>
        <v>05</v>
      </c>
      <c r="S821" s="6" t="s">
        <v>129</v>
      </c>
      <c r="T821" s="1" t="s">
        <v>130</v>
      </c>
      <c r="U821" s="6" t="s">
        <v>148</v>
      </c>
      <c r="V821" s="1" t="s">
        <v>143</v>
      </c>
      <c r="W821" s="1" t="s">
        <v>133</v>
      </c>
      <c r="X821" s="5">
        <v>46233</v>
      </c>
      <c r="Y821" s="1">
        <f t="shared" si="175"/>
        <v>99</v>
      </c>
      <c r="Z821" s="5">
        <v>46233</v>
      </c>
      <c r="AA821" s="3"/>
      <c r="AB821" s="3"/>
      <c r="AD821" s="133" t="str">
        <f t="shared" si="159"/>
        <v>Closed In July</v>
      </c>
    </row>
    <row r="822" spans="1:30" hidden="1">
      <c r="A822" s="9">
        <v>46134</v>
      </c>
      <c r="B822" s="1">
        <v>2026</v>
      </c>
      <c r="C822" s="8" t="s">
        <v>26</v>
      </c>
      <c r="D822" s="11" t="s">
        <v>179</v>
      </c>
      <c r="E822" s="1"/>
      <c r="F822" s="1" t="s">
        <v>19</v>
      </c>
      <c r="G822" s="8" t="s">
        <v>180</v>
      </c>
      <c r="H822" s="8">
        <v>8248438488</v>
      </c>
      <c r="I822" s="10" t="s">
        <v>30</v>
      </c>
      <c r="J822" s="8" t="s">
        <v>181</v>
      </c>
      <c r="K822" s="8" t="s">
        <v>27</v>
      </c>
      <c r="L822" s="8" t="s">
        <v>28</v>
      </c>
      <c r="M822" s="2" t="s">
        <v>146</v>
      </c>
      <c r="N822" s="6" t="s">
        <v>138</v>
      </c>
      <c r="O822" s="11">
        <v>550</v>
      </c>
      <c r="P822" s="2" t="s">
        <v>1044</v>
      </c>
      <c r="Q822" s="12" t="str">
        <f t="shared" si="173"/>
        <v>23</v>
      </c>
      <c r="R822" s="12" t="str">
        <f t="shared" si="174"/>
        <v>05</v>
      </c>
      <c r="S822" s="6" t="s">
        <v>129</v>
      </c>
      <c r="T822" s="1" t="s">
        <v>130</v>
      </c>
      <c r="U822" s="6" t="s">
        <v>148</v>
      </c>
      <c r="V822" s="1" t="s">
        <v>143</v>
      </c>
      <c r="W822" s="1" t="s">
        <v>133</v>
      </c>
      <c r="X822" s="5">
        <v>46233</v>
      </c>
      <c r="Y822" s="1">
        <f t="shared" si="175"/>
        <v>99</v>
      </c>
      <c r="Z822" s="5">
        <v>46233</v>
      </c>
      <c r="AA822" s="3"/>
      <c r="AB822" s="3"/>
      <c r="AD822" s="133" t="str">
        <f t="shared" si="159"/>
        <v>Closed In July</v>
      </c>
    </row>
    <row r="823" spans="1:30" hidden="1">
      <c r="A823" s="9">
        <v>46134</v>
      </c>
      <c r="B823" s="1">
        <v>2026</v>
      </c>
      <c r="C823" s="8" t="s">
        <v>26</v>
      </c>
      <c r="D823" s="11" t="s">
        <v>179</v>
      </c>
      <c r="E823" s="1"/>
      <c r="F823" s="1" t="s">
        <v>19</v>
      </c>
      <c r="G823" s="8" t="s">
        <v>180</v>
      </c>
      <c r="H823" s="8">
        <v>8248438488</v>
      </c>
      <c r="I823" s="10" t="s">
        <v>30</v>
      </c>
      <c r="J823" s="8" t="s">
        <v>181</v>
      </c>
      <c r="K823" s="8" t="s">
        <v>27</v>
      </c>
      <c r="L823" s="8" t="s">
        <v>28</v>
      </c>
      <c r="M823" s="2" t="s">
        <v>146</v>
      </c>
      <c r="N823" s="6" t="s">
        <v>138</v>
      </c>
      <c r="O823" s="11">
        <v>550</v>
      </c>
      <c r="P823" s="2" t="s">
        <v>1045</v>
      </c>
      <c r="Q823" s="12" t="str">
        <f t="shared" si="173"/>
        <v>23</v>
      </c>
      <c r="R823" s="12" t="str">
        <f t="shared" si="174"/>
        <v>05</v>
      </c>
      <c r="S823" s="6" t="s">
        <v>129</v>
      </c>
      <c r="T823" s="1" t="s">
        <v>130</v>
      </c>
      <c r="U823" s="6" t="s">
        <v>148</v>
      </c>
      <c r="V823" s="1" t="s">
        <v>143</v>
      </c>
      <c r="W823" s="1" t="s">
        <v>133</v>
      </c>
      <c r="X823" s="5">
        <v>46233</v>
      </c>
      <c r="Y823" s="1">
        <f t="shared" si="175"/>
        <v>99</v>
      </c>
      <c r="Z823" s="5">
        <v>46233</v>
      </c>
      <c r="AA823" s="3"/>
      <c r="AB823" s="3"/>
      <c r="AD823" s="133" t="str">
        <f t="shared" si="159"/>
        <v>Closed In July</v>
      </c>
    </row>
    <row r="824" spans="1:30" hidden="1">
      <c r="A824" s="9">
        <v>46134</v>
      </c>
      <c r="B824" s="1">
        <v>2026</v>
      </c>
      <c r="C824" s="8" t="s">
        <v>26</v>
      </c>
      <c r="D824" s="11" t="s">
        <v>179</v>
      </c>
      <c r="E824" s="1"/>
      <c r="F824" s="1" t="s">
        <v>19</v>
      </c>
      <c r="G824" s="8" t="s">
        <v>180</v>
      </c>
      <c r="H824" s="8">
        <v>8248438488</v>
      </c>
      <c r="I824" s="10" t="s">
        <v>30</v>
      </c>
      <c r="J824" s="8" t="s">
        <v>181</v>
      </c>
      <c r="K824" s="8" t="s">
        <v>27</v>
      </c>
      <c r="L824" s="8" t="s">
        <v>28</v>
      </c>
      <c r="M824" s="2" t="s">
        <v>146</v>
      </c>
      <c r="N824" s="6" t="s">
        <v>138</v>
      </c>
      <c r="O824" s="11">
        <v>550</v>
      </c>
      <c r="P824" s="2" t="s">
        <v>1046</v>
      </c>
      <c r="Q824" s="12" t="str">
        <f t="shared" si="173"/>
        <v>23</v>
      </c>
      <c r="R824" s="12" t="str">
        <f t="shared" si="174"/>
        <v>06</v>
      </c>
      <c r="S824" s="6" t="s">
        <v>129</v>
      </c>
      <c r="T824" s="1" t="s">
        <v>130</v>
      </c>
      <c r="U824" s="6" t="s">
        <v>148</v>
      </c>
      <c r="V824" s="1" t="s">
        <v>143</v>
      </c>
      <c r="W824" s="1" t="s">
        <v>133</v>
      </c>
      <c r="X824" s="5">
        <v>46233</v>
      </c>
      <c r="Y824" s="1">
        <f t="shared" si="175"/>
        <v>99</v>
      </c>
      <c r="Z824" s="5">
        <v>46233</v>
      </c>
      <c r="AA824" s="3"/>
      <c r="AB824" s="3"/>
      <c r="AD824" s="133" t="str">
        <f t="shared" si="159"/>
        <v>Closed In July</v>
      </c>
    </row>
    <row r="825" spans="1:30" hidden="1">
      <c r="A825" s="9">
        <v>46134</v>
      </c>
      <c r="B825" s="1">
        <v>2026</v>
      </c>
      <c r="C825" s="8" t="s">
        <v>26</v>
      </c>
      <c r="D825" s="11" t="s">
        <v>179</v>
      </c>
      <c r="E825" s="1"/>
      <c r="F825" s="1" t="s">
        <v>19</v>
      </c>
      <c r="G825" s="8" t="s">
        <v>180</v>
      </c>
      <c r="H825" s="8">
        <v>8248438488</v>
      </c>
      <c r="I825" s="10" t="s">
        <v>30</v>
      </c>
      <c r="J825" s="8" t="s">
        <v>181</v>
      </c>
      <c r="K825" s="8" t="s">
        <v>27</v>
      </c>
      <c r="L825" s="8" t="s">
        <v>28</v>
      </c>
      <c r="M825" s="2" t="s">
        <v>146</v>
      </c>
      <c r="N825" s="6" t="s">
        <v>138</v>
      </c>
      <c r="O825" s="11">
        <v>550</v>
      </c>
      <c r="P825" s="2" t="s">
        <v>1047</v>
      </c>
      <c r="Q825" s="12" t="str">
        <f t="shared" si="173"/>
        <v>23</v>
      </c>
      <c r="R825" s="12" t="str">
        <f t="shared" si="174"/>
        <v>06</v>
      </c>
      <c r="S825" s="6" t="s">
        <v>129</v>
      </c>
      <c r="T825" s="1" t="s">
        <v>130</v>
      </c>
      <c r="U825" s="6" t="s">
        <v>148</v>
      </c>
      <c r="V825" s="1" t="s">
        <v>143</v>
      </c>
      <c r="W825" s="1" t="s">
        <v>133</v>
      </c>
      <c r="X825" s="5">
        <v>46233</v>
      </c>
      <c r="Y825" s="1">
        <f t="shared" si="175"/>
        <v>99</v>
      </c>
      <c r="Z825" s="5">
        <v>46233</v>
      </c>
      <c r="AA825" s="3"/>
      <c r="AB825" s="3"/>
      <c r="AD825" s="133" t="str">
        <f t="shared" si="159"/>
        <v>Closed In July</v>
      </c>
    </row>
    <row r="826" spans="1:30" hidden="1">
      <c r="A826" s="9">
        <v>46134</v>
      </c>
      <c r="B826" s="1">
        <v>2026</v>
      </c>
      <c r="C826" s="8" t="s">
        <v>26</v>
      </c>
      <c r="D826" s="11" t="s">
        <v>179</v>
      </c>
      <c r="E826" s="1"/>
      <c r="F826" s="1" t="s">
        <v>19</v>
      </c>
      <c r="G826" s="8" t="s">
        <v>180</v>
      </c>
      <c r="H826" s="8">
        <v>8248438488</v>
      </c>
      <c r="I826" s="10" t="s">
        <v>30</v>
      </c>
      <c r="J826" s="8" t="s">
        <v>181</v>
      </c>
      <c r="K826" s="8" t="s">
        <v>27</v>
      </c>
      <c r="L826" s="8" t="s">
        <v>28</v>
      </c>
      <c r="M826" s="2" t="s">
        <v>146</v>
      </c>
      <c r="N826" s="6" t="s">
        <v>138</v>
      </c>
      <c r="O826" s="11">
        <v>550</v>
      </c>
      <c r="P826" s="2" t="s">
        <v>1048</v>
      </c>
      <c r="Q826" s="12" t="str">
        <f t="shared" si="173"/>
        <v>23</v>
      </c>
      <c r="R826" s="12" t="str">
        <f t="shared" si="174"/>
        <v>06</v>
      </c>
      <c r="S826" s="6" t="s">
        <v>129</v>
      </c>
      <c r="T826" s="1" t="s">
        <v>130</v>
      </c>
      <c r="U826" s="6" t="s">
        <v>148</v>
      </c>
      <c r="V826" s="1" t="s">
        <v>143</v>
      </c>
      <c r="W826" s="1" t="s">
        <v>133</v>
      </c>
      <c r="X826" s="5">
        <v>46233</v>
      </c>
      <c r="Y826" s="1">
        <f t="shared" si="175"/>
        <v>99</v>
      </c>
      <c r="Z826" s="5">
        <v>46233</v>
      </c>
      <c r="AA826" s="3"/>
      <c r="AB826" s="3"/>
      <c r="AD826" s="133" t="str">
        <f t="shared" si="159"/>
        <v>Closed In July</v>
      </c>
    </row>
    <row r="827" spans="1:30" hidden="1">
      <c r="A827" s="9">
        <v>46134</v>
      </c>
      <c r="B827" s="1">
        <v>2026</v>
      </c>
      <c r="C827" s="8" t="s">
        <v>26</v>
      </c>
      <c r="D827" s="11" t="s">
        <v>179</v>
      </c>
      <c r="E827" s="1"/>
      <c r="F827" s="1" t="s">
        <v>19</v>
      </c>
      <c r="G827" s="8" t="s">
        <v>180</v>
      </c>
      <c r="H827" s="8">
        <v>8248438488</v>
      </c>
      <c r="I827" s="10" t="s">
        <v>30</v>
      </c>
      <c r="J827" s="8" t="s">
        <v>181</v>
      </c>
      <c r="K827" s="8" t="s">
        <v>27</v>
      </c>
      <c r="L827" s="8" t="s">
        <v>28</v>
      </c>
      <c r="M827" s="2" t="s">
        <v>146</v>
      </c>
      <c r="N827" s="6" t="s">
        <v>138</v>
      </c>
      <c r="O827" s="11">
        <v>550</v>
      </c>
      <c r="P827" s="2" t="s">
        <v>1049</v>
      </c>
      <c r="Q827" s="12" t="str">
        <f t="shared" si="173"/>
        <v>23</v>
      </c>
      <c r="R827" s="12" t="str">
        <f t="shared" si="174"/>
        <v>06</v>
      </c>
      <c r="S827" s="6" t="s">
        <v>129</v>
      </c>
      <c r="T827" s="1" t="s">
        <v>130</v>
      </c>
      <c r="U827" s="6" t="s">
        <v>148</v>
      </c>
      <c r="V827" s="1" t="s">
        <v>143</v>
      </c>
      <c r="W827" s="1" t="s">
        <v>133</v>
      </c>
      <c r="X827" s="5">
        <v>46233</v>
      </c>
      <c r="Y827" s="1">
        <f t="shared" si="175"/>
        <v>99</v>
      </c>
      <c r="Z827" s="5">
        <v>46233</v>
      </c>
      <c r="AA827" s="3"/>
      <c r="AB827" s="3"/>
      <c r="AD827" s="133" t="str">
        <f t="shared" si="159"/>
        <v>Closed In July</v>
      </c>
    </row>
    <row r="828" spans="1:30" hidden="1">
      <c r="A828" s="9">
        <v>46134</v>
      </c>
      <c r="B828" s="1">
        <v>2026</v>
      </c>
      <c r="C828" s="8" t="s">
        <v>26</v>
      </c>
      <c r="D828" s="11" t="s">
        <v>179</v>
      </c>
      <c r="E828" s="1"/>
      <c r="F828" s="1" t="s">
        <v>19</v>
      </c>
      <c r="G828" s="8" t="s">
        <v>180</v>
      </c>
      <c r="H828" s="8">
        <v>8248438488</v>
      </c>
      <c r="I828" s="10" t="s">
        <v>30</v>
      </c>
      <c r="J828" s="8" t="s">
        <v>181</v>
      </c>
      <c r="K828" s="8" t="s">
        <v>27</v>
      </c>
      <c r="L828" s="8" t="s">
        <v>28</v>
      </c>
      <c r="M828" s="2" t="s">
        <v>146</v>
      </c>
      <c r="N828" s="6" t="s">
        <v>138</v>
      </c>
      <c r="O828" s="11">
        <v>550</v>
      </c>
      <c r="P828" s="2" t="s">
        <v>1050</v>
      </c>
      <c r="Q828" s="12" t="str">
        <f t="shared" si="173"/>
        <v>24</v>
      </c>
      <c r="R828" s="12" t="str">
        <f t="shared" si="174"/>
        <v>09</v>
      </c>
      <c r="S828" s="6" t="s">
        <v>129</v>
      </c>
      <c r="T828" s="1" t="s">
        <v>130</v>
      </c>
      <c r="U828" s="6" t="s">
        <v>148</v>
      </c>
      <c r="V828" s="1" t="s">
        <v>143</v>
      </c>
      <c r="W828" s="1" t="s">
        <v>133</v>
      </c>
      <c r="X828" s="5">
        <v>46233</v>
      </c>
      <c r="Y828" s="1">
        <f t="shared" si="175"/>
        <v>99</v>
      </c>
      <c r="Z828" s="5">
        <v>46233</v>
      </c>
      <c r="AA828" s="3"/>
      <c r="AB828" s="3"/>
      <c r="AD828" s="133" t="str">
        <f t="shared" si="159"/>
        <v>Closed In July</v>
      </c>
    </row>
    <row r="829" spans="1:30" hidden="1">
      <c r="A829" s="9">
        <v>46134</v>
      </c>
      <c r="B829" s="1">
        <v>2026</v>
      </c>
      <c r="C829" s="8" t="s">
        <v>26</v>
      </c>
      <c r="D829" s="11" t="s">
        <v>179</v>
      </c>
      <c r="E829" s="1"/>
      <c r="F829" s="1" t="s">
        <v>19</v>
      </c>
      <c r="G829" s="8" t="s">
        <v>180</v>
      </c>
      <c r="H829" s="8">
        <v>8248438488</v>
      </c>
      <c r="I829" s="10" t="s">
        <v>30</v>
      </c>
      <c r="J829" s="8" t="s">
        <v>181</v>
      </c>
      <c r="K829" s="8" t="s">
        <v>27</v>
      </c>
      <c r="L829" s="8" t="s">
        <v>28</v>
      </c>
      <c r="M829" s="2" t="s">
        <v>146</v>
      </c>
      <c r="N829" s="6" t="s">
        <v>138</v>
      </c>
      <c r="O829" s="11">
        <v>550</v>
      </c>
      <c r="P829" s="2" t="s">
        <v>1051</v>
      </c>
      <c r="Q829" s="12" t="str">
        <f t="shared" si="173"/>
        <v>23</v>
      </c>
      <c r="R829" s="12" t="str">
        <f t="shared" si="174"/>
        <v>06</v>
      </c>
      <c r="S829" s="6" t="s">
        <v>129</v>
      </c>
      <c r="T829" s="1" t="s">
        <v>130</v>
      </c>
      <c r="U829" s="6" t="s">
        <v>148</v>
      </c>
      <c r="V829" s="1" t="s">
        <v>143</v>
      </c>
      <c r="W829" s="1" t="s">
        <v>133</v>
      </c>
      <c r="X829" s="5">
        <v>46233</v>
      </c>
      <c r="Y829" s="1">
        <f t="shared" si="175"/>
        <v>99</v>
      </c>
      <c r="Z829" s="5">
        <v>46233</v>
      </c>
      <c r="AA829" s="3"/>
      <c r="AB829" s="3"/>
      <c r="AD829" s="133" t="str">
        <f t="shared" si="159"/>
        <v>Closed In July</v>
      </c>
    </row>
    <row r="830" spans="1:30" hidden="1">
      <c r="A830" s="9">
        <v>46134</v>
      </c>
      <c r="B830" s="1">
        <v>2026</v>
      </c>
      <c r="C830" s="8" t="s">
        <v>26</v>
      </c>
      <c r="D830" s="11" t="s">
        <v>179</v>
      </c>
      <c r="E830" s="1"/>
      <c r="F830" s="1" t="s">
        <v>19</v>
      </c>
      <c r="G830" s="8" t="s">
        <v>180</v>
      </c>
      <c r="H830" s="8">
        <v>8248438488</v>
      </c>
      <c r="I830" s="10" t="s">
        <v>30</v>
      </c>
      <c r="J830" s="8" t="s">
        <v>181</v>
      </c>
      <c r="K830" s="8" t="s">
        <v>27</v>
      </c>
      <c r="L830" s="8" t="s">
        <v>28</v>
      </c>
      <c r="M830" s="2" t="s">
        <v>126</v>
      </c>
      <c r="N830" s="1" t="s">
        <v>127</v>
      </c>
      <c r="O830" s="11">
        <v>550</v>
      </c>
      <c r="P830" s="2" t="s">
        <v>1052</v>
      </c>
      <c r="Q830" s="12" t="str">
        <f t="shared" si="173"/>
        <v>24</v>
      </c>
      <c r="R830" s="12" t="str">
        <f t="shared" si="174"/>
        <v>09</v>
      </c>
      <c r="S830" s="6" t="s">
        <v>129</v>
      </c>
      <c r="T830" s="1" t="s">
        <v>130</v>
      </c>
      <c r="U830" s="6" t="s">
        <v>145</v>
      </c>
      <c r="V830" s="6" t="s">
        <v>132</v>
      </c>
      <c r="W830" s="1" t="s">
        <v>133</v>
      </c>
      <c r="X830" s="5">
        <v>46233</v>
      </c>
      <c r="Y830" s="1">
        <f t="shared" si="175"/>
        <v>99</v>
      </c>
      <c r="Z830" s="5">
        <v>46233</v>
      </c>
      <c r="AA830" s="3"/>
      <c r="AB830" s="3"/>
      <c r="AD830" s="133" t="str">
        <f t="shared" si="159"/>
        <v>Closed In July</v>
      </c>
    </row>
    <row r="831" spans="1:30" hidden="1">
      <c r="A831" s="9">
        <v>46134</v>
      </c>
      <c r="B831" s="1">
        <v>2026</v>
      </c>
      <c r="C831" s="8" t="s">
        <v>26</v>
      </c>
      <c r="D831" s="11" t="s">
        <v>179</v>
      </c>
      <c r="E831" s="1"/>
      <c r="F831" s="1" t="s">
        <v>19</v>
      </c>
      <c r="G831" s="8" t="s">
        <v>180</v>
      </c>
      <c r="H831" s="8">
        <v>8248438488</v>
      </c>
      <c r="I831" s="10" t="s">
        <v>30</v>
      </c>
      <c r="J831" s="8" t="s">
        <v>181</v>
      </c>
      <c r="K831" s="8" t="s">
        <v>27</v>
      </c>
      <c r="L831" s="8" t="s">
        <v>28</v>
      </c>
      <c r="M831" s="2" t="s">
        <v>146</v>
      </c>
      <c r="N831" s="6" t="s">
        <v>138</v>
      </c>
      <c r="O831" s="11">
        <v>550</v>
      </c>
      <c r="P831" s="2" t="s">
        <v>1053</v>
      </c>
      <c r="Q831" s="12" t="str">
        <f t="shared" ref="Q831:Q832" si="176">MID(P831,5,2)</f>
        <v>24</v>
      </c>
      <c r="R831" s="12" t="str">
        <f t="shared" ref="R831:R832" si="177">MID(P831,7,2)</f>
        <v>09</v>
      </c>
      <c r="S831" s="6" t="s">
        <v>129</v>
      </c>
      <c r="T831" s="1" t="s">
        <v>130</v>
      </c>
      <c r="U831" s="6" t="s">
        <v>148</v>
      </c>
      <c r="V831" s="1" t="s">
        <v>143</v>
      </c>
      <c r="W831" s="1" t="s">
        <v>133</v>
      </c>
      <c r="X831" s="5">
        <v>46233</v>
      </c>
      <c r="Y831" s="1">
        <f t="shared" ref="Y831:Y832" si="178">X831-A831</f>
        <v>99</v>
      </c>
      <c r="Z831" s="5">
        <v>46233</v>
      </c>
      <c r="AA831" s="3"/>
      <c r="AB831" s="3"/>
      <c r="AD831" s="133" t="str">
        <f t="shared" si="159"/>
        <v>Closed In July</v>
      </c>
    </row>
    <row r="832" spans="1:30" hidden="1">
      <c r="A832" s="9">
        <v>46134</v>
      </c>
      <c r="B832" s="1">
        <v>2026</v>
      </c>
      <c r="C832" s="8" t="s">
        <v>26</v>
      </c>
      <c r="D832" s="11" t="s">
        <v>179</v>
      </c>
      <c r="E832" s="1"/>
      <c r="F832" s="1" t="s">
        <v>19</v>
      </c>
      <c r="G832" s="8" t="s">
        <v>180</v>
      </c>
      <c r="H832" s="8">
        <v>8248438488</v>
      </c>
      <c r="I832" s="10" t="s">
        <v>30</v>
      </c>
      <c r="J832" s="8" t="s">
        <v>181</v>
      </c>
      <c r="K832" s="8" t="s">
        <v>27</v>
      </c>
      <c r="L832" s="8" t="s">
        <v>28</v>
      </c>
      <c r="M832" s="2" t="s">
        <v>126</v>
      </c>
      <c r="N832" s="1" t="s">
        <v>127</v>
      </c>
      <c r="O832" s="11">
        <v>550</v>
      </c>
      <c r="P832" s="2" t="s">
        <v>1054</v>
      </c>
      <c r="Q832" s="12" t="str">
        <f t="shared" si="176"/>
        <v>24</v>
      </c>
      <c r="R832" s="12" t="str">
        <f t="shared" si="177"/>
        <v>09</v>
      </c>
      <c r="S832" s="6" t="s">
        <v>129</v>
      </c>
      <c r="T832" s="1" t="s">
        <v>130</v>
      </c>
      <c r="U832" s="6" t="s">
        <v>145</v>
      </c>
      <c r="V832" s="6" t="s">
        <v>132</v>
      </c>
      <c r="W832" s="1" t="s">
        <v>133</v>
      </c>
      <c r="X832" s="5">
        <v>46233</v>
      </c>
      <c r="Y832" s="1">
        <f t="shared" si="178"/>
        <v>99</v>
      </c>
      <c r="Z832" s="5">
        <v>46233</v>
      </c>
      <c r="AA832" s="3"/>
      <c r="AB832" s="3"/>
      <c r="AD832" s="133" t="str">
        <f t="shared" si="159"/>
        <v>Closed In July</v>
      </c>
    </row>
    <row r="833" spans="1:30" hidden="1">
      <c r="A833" s="9">
        <v>46134</v>
      </c>
      <c r="B833" s="1">
        <v>2026</v>
      </c>
      <c r="C833" s="8" t="s">
        <v>26</v>
      </c>
      <c r="D833" s="11" t="s">
        <v>179</v>
      </c>
      <c r="E833" s="1"/>
      <c r="F833" s="1" t="s">
        <v>19</v>
      </c>
      <c r="G833" s="8" t="s">
        <v>180</v>
      </c>
      <c r="H833" s="8">
        <v>8248438488</v>
      </c>
      <c r="I833" s="10" t="s">
        <v>30</v>
      </c>
      <c r="J833" s="8" t="s">
        <v>181</v>
      </c>
      <c r="K833" s="8" t="s">
        <v>27</v>
      </c>
      <c r="L833" s="8" t="s">
        <v>28</v>
      </c>
      <c r="M833" s="2" t="s">
        <v>146</v>
      </c>
      <c r="N833" s="6" t="s">
        <v>138</v>
      </c>
      <c r="O833" s="11">
        <v>550</v>
      </c>
      <c r="P833" s="2" t="s">
        <v>1055</v>
      </c>
      <c r="Q833" s="12" t="str">
        <f t="shared" ref="Q833:Q835" si="179">MID(P833,5,2)</f>
        <v>23</v>
      </c>
      <c r="R833" s="12" t="str">
        <f t="shared" ref="R833:R835" si="180">MID(P833,7,2)</f>
        <v>07</v>
      </c>
      <c r="S833" s="6" t="s">
        <v>129</v>
      </c>
      <c r="T833" s="1" t="s">
        <v>130</v>
      </c>
      <c r="U833" s="6" t="s">
        <v>148</v>
      </c>
      <c r="V833" s="1" t="s">
        <v>143</v>
      </c>
      <c r="W833" s="1" t="s">
        <v>133</v>
      </c>
      <c r="X833" s="5">
        <v>46233</v>
      </c>
      <c r="Y833" s="1">
        <f t="shared" ref="Y833:Y835" si="181">X833-A833</f>
        <v>99</v>
      </c>
      <c r="Z833" s="5">
        <v>46233</v>
      </c>
      <c r="AA833" s="3"/>
      <c r="AB833" s="3"/>
      <c r="AD833" s="133" t="str">
        <f t="shared" si="159"/>
        <v>Closed In July</v>
      </c>
    </row>
    <row r="834" spans="1:30" hidden="1">
      <c r="A834" s="9">
        <v>46134</v>
      </c>
      <c r="B834" s="1">
        <v>2026</v>
      </c>
      <c r="C834" s="8" t="s">
        <v>26</v>
      </c>
      <c r="D834" s="11" t="s">
        <v>179</v>
      </c>
      <c r="E834" s="1"/>
      <c r="F834" s="1" t="s">
        <v>19</v>
      </c>
      <c r="G834" s="8" t="s">
        <v>180</v>
      </c>
      <c r="H834" s="8">
        <v>8248438488</v>
      </c>
      <c r="I834" s="10" t="s">
        <v>30</v>
      </c>
      <c r="J834" s="8" t="s">
        <v>181</v>
      </c>
      <c r="K834" s="8" t="s">
        <v>27</v>
      </c>
      <c r="L834" s="8" t="s">
        <v>28</v>
      </c>
      <c r="M834" s="2" t="s">
        <v>146</v>
      </c>
      <c r="N834" s="6" t="s">
        <v>138</v>
      </c>
      <c r="O834" s="11">
        <v>550</v>
      </c>
      <c r="P834" s="2" t="s">
        <v>1056</v>
      </c>
      <c r="Q834" s="12" t="str">
        <f t="shared" si="179"/>
        <v>23</v>
      </c>
      <c r="R834" s="12" t="str">
        <f t="shared" si="180"/>
        <v>07</v>
      </c>
      <c r="S834" s="6" t="s">
        <v>129</v>
      </c>
      <c r="T834" s="1" t="s">
        <v>130</v>
      </c>
      <c r="U834" s="6" t="s">
        <v>148</v>
      </c>
      <c r="V834" s="1" t="s">
        <v>143</v>
      </c>
      <c r="W834" s="1" t="s">
        <v>133</v>
      </c>
      <c r="X834" s="5">
        <v>46233</v>
      </c>
      <c r="Y834" s="1">
        <f t="shared" si="181"/>
        <v>99</v>
      </c>
      <c r="Z834" s="5">
        <v>46233</v>
      </c>
      <c r="AA834" s="3"/>
      <c r="AB834" s="3"/>
      <c r="AD834" s="133" t="str">
        <f t="shared" si="159"/>
        <v>Closed In July</v>
      </c>
    </row>
    <row r="835" spans="1:30" hidden="1">
      <c r="A835" s="9">
        <v>46134</v>
      </c>
      <c r="B835" s="1">
        <v>2026</v>
      </c>
      <c r="C835" s="8" t="s">
        <v>26</v>
      </c>
      <c r="D835" s="11" t="s">
        <v>179</v>
      </c>
      <c r="E835" s="1"/>
      <c r="F835" s="1" t="s">
        <v>19</v>
      </c>
      <c r="G835" s="8" t="s">
        <v>180</v>
      </c>
      <c r="H835" s="8">
        <v>8248438488</v>
      </c>
      <c r="I835" s="10" t="s">
        <v>30</v>
      </c>
      <c r="J835" s="8" t="s">
        <v>181</v>
      </c>
      <c r="K835" s="8" t="s">
        <v>27</v>
      </c>
      <c r="L835" s="8" t="s">
        <v>28</v>
      </c>
      <c r="M835" s="2" t="s">
        <v>137</v>
      </c>
      <c r="N835" s="6" t="s">
        <v>138</v>
      </c>
      <c r="O835" s="11">
        <v>550</v>
      </c>
      <c r="P835" s="2" t="s">
        <v>1057</v>
      </c>
      <c r="Q835" s="12" t="str">
        <f t="shared" si="179"/>
        <v>23</v>
      </c>
      <c r="R835" s="12" t="str">
        <f t="shared" si="180"/>
        <v>06</v>
      </c>
      <c r="S835" s="6" t="s">
        <v>129</v>
      </c>
      <c r="T835" s="1" t="s">
        <v>130</v>
      </c>
      <c r="U835" s="6" t="s">
        <v>142</v>
      </c>
      <c r="V835" s="1" t="s">
        <v>143</v>
      </c>
      <c r="W835" s="1" t="s">
        <v>133</v>
      </c>
      <c r="X835" s="5">
        <v>46233</v>
      </c>
      <c r="Y835" s="1">
        <f t="shared" si="181"/>
        <v>99</v>
      </c>
      <c r="Z835" s="5">
        <v>46233</v>
      </c>
      <c r="AA835" s="3"/>
      <c r="AB835" s="3"/>
      <c r="AD835" s="133" t="str">
        <f t="shared" ref="AD835:AD882" si="182">IF(AND(F835="Closed",X835&gt;=DATE(2026,7,1),X835&lt;=DATE(2026,7,31)),"Closed In July","Other")</f>
        <v>Closed In July</v>
      </c>
    </row>
    <row r="836" spans="1:30" hidden="1">
      <c r="A836" s="9">
        <v>46134</v>
      </c>
      <c r="B836" s="1">
        <v>2026</v>
      </c>
      <c r="C836" s="8" t="s">
        <v>26</v>
      </c>
      <c r="D836" s="11" t="s">
        <v>179</v>
      </c>
      <c r="E836" s="1"/>
      <c r="F836" s="1" t="s">
        <v>19</v>
      </c>
      <c r="G836" s="8" t="s">
        <v>180</v>
      </c>
      <c r="H836" s="8">
        <v>8248438488</v>
      </c>
      <c r="I836" s="10" t="s">
        <v>30</v>
      </c>
      <c r="J836" s="8" t="s">
        <v>181</v>
      </c>
      <c r="K836" s="8" t="s">
        <v>27</v>
      </c>
      <c r="L836" s="8" t="s">
        <v>28</v>
      </c>
      <c r="M836" s="2" t="s">
        <v>146</v>
      </c>
      <c r="N836" s="6" t="s">
        <v>138</v>
      </c>
      <c r="O836" s="11">
        <v>550</v>
      </c>
      <c r="P836" s="2" t="s">
        <v>1058</v>
      </c>
      <c r="Q836" s="12" t="str">
        <f t="shared" ref="Q836:Q843" si="183">MID(P836,5,2)</f>
        <v>23</v>
      </c>
      <c r="R836" s="12" t="str">
        <f t="shared" ref="R836:R843" si="184">MID(P836,7,2)</f>
        <v>06</v>
      </c>
      <c r="S836" s="6" t="s">
        <v>129</v>
      </c>
      <c r="T836" s="1" t="s">
        <v>130</v>
      </c>
      <c r="U836" s="6" t="s">
        <v>148</v>
      </c>
      <c r="V836" s="1" t="s">
        <v>143</v>
      </c>
      <c r="W836" s="1" t="s">
        <v>133</v>
      </c>
      <c r="X836" s="5">
        <v>46233</v>
      </c>
      <c r="Y836" s="1">
        <f t="shared" ref="Y836:Y844" si="185">X836-A836</f>
        <v>99</v>
      </c>
      <c r="Z836" s="5">
        <v>46233</v>
      </c>
      <c r="AA836" s="3"/>
      <c r="AB836" s="3"/>
      <c r="AD836" s="133" t="str">
        <f t="shared" si="182"/>
        <v>Closed In July</v>
      </c>
    </row>
    <row r="837" spans="1:30" hidden="1">
      <c r="A837" s="9">
        <v>46134</v>
      </c>
      <c r="B837" s="1">
        <v>2026</v>
      </c>
      <c r="C837" s="8" t="s">
        <v>26</v>
      </c>
      <c r="D837" s="11" t="s">
        <v>179</v>
      </c>
      <c r="E837" s="1"/>
      <c r="F837" s="1" t="s">
        <v>19</v>
      </c>
      <c r="G837" s="8" t="s">
        <v>180</v>
      </c>
      <c r="H837" s="8">
        <v>8248438488</v>
      </c>
      <c r="I837" s="10" t="s">
        <v>30</v>
      </c>
      <c r="J837" s="8" t="s">
        <v>181</v>
      </c>
      <c r="K837" s="8" t="s">
        <v>27</v>
      </c>
      <c r="L837" s="8" t="s">
        <v>28</v>
      </c>
      <c r="M837" s="2" t="s">
        <v>146</v>
      </c>
      <c r="N837" s="6" t="s">
        <v>138</v>
      </c>
      <c r="O837" s="11">
        <v>550</v>
      </c>
      <c r="P837" s="2" t="s">
        <v>1059</v>
      </c>
      <c r="Q837" s="12" t="str">
        <f t="shared" si="183"/>
        <v>23</v>
      </c>
      <c r="R837" s="12" t="str">
        <f t="shared" si="184"/>
        <v>06</v>
      </c>
      <c r="S837" s="6" t="s">
        <v>129</v>
      </c>
      <c r="T837" s="1" t="s">
        <v>130</v>
      </c>
      <c r="U837" s="6" t="s">
        <v>148</v>
      </c>
      <c r="V837" s="1" t="s">
        <v>143</v>
      </c>
      <c r="W837" s="1" t="s">
        <v>133</v>
      </c>
      <c r="X837" s="5">
        <v>46233</v>
      </c>
      <c r="Y837" s="1">
        <f t="shared" si="185"/>
        <v>99</v>
      </c>
      <c r="Z837" s="5">
        <v>46233</v>
      </c>
      <c r="AA837" s="3"/>
      <c r="AB837" s="3"/>
      <c r="AD837" s="133" t="str">
        <f t="shared" si="182"/>
        <v>Closed In July</v>
      </c>
    </row>
    <row r="838" spans="1:30" hidden="1">
      <c r="A838" s="9">
        <v>46134</v>
      </c>
      <c r="B838" s="1">
        <v>2026</v>
      </c>
      <c r="C838" s="8" t="s">
        <v>26</v>
      </c>
      <c r="D838" s="11" t="s">
        <v>179</v>
      </c>
      <c r="E838" s="1"/>
      <c r="F838" s="1" t="s">
        <v>19</v>
      </c>
      <c r="G838" s="8" t="s">
        <v>180</v>
      </c>
      <c r="H838" s="8">
        <v>8248438488</v>
      </c>
      <c r="I838" s="10" t="s">
        <v>30</v>
      </c>
      <c r="J838" s="8" t="s">
        <v>181</v>
      </c>
      <c r="K838" s="8" t="s">
        <v>27</v>
      </c>
      <c r="L838" s="8" t="s">
        <v>28</v>
      </c>
      <c r="M838" s="2" t="s">
        <v>146</v>
      </c>
      <c r="N838" s="6" t="s">
        <v>138</v>
      </c>
      <c r="O838" s="11">
        <v>550</v>
      </c>
      <c r="P838" s="2" t="s">
        <v>1060</v>
      </c>
      <c r="Q838" s="12" t="str">
        <f t="shared" si="183"/>
        <v>23</v>
      </c>
      <c r="R838" s="12" t="str">
        <f t="shared" si="184"/>
        <v>06</v>
      </c>
      <c r="S838" s="6" t="s">
        <v>129</v>
      </c>
      <c r="T838" s="1" t="s">
        <v>130</v>
      </c>
      <c r="U838" s="6" t="s">
        <v>148</v>
      </c>
      <c r="V838" s="1" t="s">
        <v>143</v>
      </c>
      <c r="W838" s="1" t="s">
        <v>133</v>
      </c>
      <c r="X838" s="5">
        <v>46233</v>
      </c>
      <c r="Y838" s="1">
        <f t="shared" si="185"/>
        <v>99</v>
      </c>
      <c r="Z838" s="5">
        <v>46233</v>
      </c>
      <c r="AA838" s="3"/>
      <c r="AB838" s="3"/>
      <c r="AD838" s="133" t="str">
        <f t="shared" si="182"/>
        <v>Closed In July</v>
      </c>
    </row>
    <row r="839" spans="1:30" hidden="1">
      <c r="A839" s="9">
        <v>46134</v>
      </c>
      <c r="B839" s="1">
        <v>2026</v>
      </c>
      <c r="C839" s="8" t="s">
        <v>26</v>
      </c>
      <c r="D839" s="11" t="s">
        <v>179</v>
      </c>
      <c r="E839" s="1"/>
      <c r="F839" s="1" t="s">
        <v>19</v>
      </c>
      <c r="G839" s="8" t="s">
        <v>180</v>
      </c>
      <c r="H839" s="8">
        <v>8248438488</v>
      </c>
      <c r="I839" s="10" t="s">
        <v>30</v>
      </c>
      <c r="J839" s="8" t="s">
        <v>181</v>
      </c>
      <c r="K839" s="8" t="s">
        <v>27</v>
      </c>
      <c r="L839" s="8" t="s">
        <v>28</v>
      </c>
      <c r="M839" s="2" t="s">
        <v>146</v>
      </c>
      <c r="N839" s="6" t="s">
        <v>138</v>
      </c>
      <c r="O839" s="11">
        <v>550</v>
      </c>
      <c r="P839" s="2" t="s">
        <v>1061</v>
      </c>
      <c r="Q839" s="12" t="str">
        <f t="shared" si="183"/>
        <v>23</v>
      </c>
      <c r="R839" s="12" t="str">
        <f t="shared" si="184"/>
        <v>06</v>
      </c>
      <c r="S839" s="6" t="s">
        <v>129</v>
      </c>
      <c r="T839" s="1" t="s">
        <v>130</v>
      </c>
      <c r="U839" s="6" t="s">
        <v>148</v>
      </c>
      <c r="V839" s="1" t="s">
        <v>143</v>
      </c>
      <c r="W839" s="1" t="s">
        <v>133</v>
      </c>
      <c r="X839" s="5">
        <v>46233</v>
      </c>
      <c r="Y839" s="1">
        <f t="shared" si="185"/>
        <v>99</v>
      </c>
      <c r="Z839" s="5">
        <v>46233</v>
      </c>
      <c r="AA839" s="3"/>
      <c r="AB839" s="3"/>
      <c r="AD839" s="133" t="str">
        <f t="shared" si="182"/>
        <v>Closed In July</v>
      </c>
    </row>
    <row r="840" spans="1:30" hidden="1">
      <c r="A840" s="9">
        <v>46134</v>
      </c>
      <c r="B840" s="1">
        <v>2026</v>
      </c>
      <c r="C840" s="8" t="s">
        <v>26</v>
      </c>
      <c r="D840" s="11" t="s">
        <v>179</v>
      </c>
      <c r="E840" s="1"/>
      <c r="F840" s="1" t="s">
        <v>19</v>
      </c>
      <c r="G840" s="8" t="s">
        <v>180</v>
      </c>
      <c r="H840" s="8">
        <v>8248438488</v>
      </c>
      <c r="I840" s="10" t="s">
        <v>30</v>
      </c>
      <c r="J840" s="8" t="s">
        <v>181</v>
      </c>
      <c r="K840" s="8" t="s">
        <v>27</v>
      </c>
      <c r="L840" s="8" t="s">
        <v>28</v>
      </c>
      <c r="M840" s="2" t="s">
        <v>146</v>
      </c>
      <c r="N840" s="6" t="s">
        <v>138</v>
      </c>
      <c r="O840" s="11">
        <v>550</v>
      </c>
      <c r="P840" s="2" t="s">
        <v>1062</v>
      </c>
      <c r="Q840" s="12" t="str">
        <f t="shared" si="183"/>
        <v>23</v>
      </c>
      <c r="R840" s="12" t="str">
        <f t="shared" si="184"/>
        <v>06</v>
      </c>
      <c r="S840" s="6" t="s">
        <v>129</v>
      </c>
      <c r="T840" s="1" t="s">
        <v>130</v>
      </c>
      <c r="U840" s="6" t="s">
        <v>148</v>
      </c>
      <c r="V840" s="1" t="s">
        <v>143</v>
      </c>
      <c r="W840" s="1" t="s">
        <v>133</v>
      </c>
      <c r="X840" s="5">
        <v>46233</v>
      </c>
      <c r="Y840" s="1">
        <f t="shared" si="185"/>
        <v>99</v>
      </c>
      <c r="Z840" s="5">
        <v>46233</v>
      </c>
      <c r="AA840" s="3"/>
      <c r="AB840" s="3"/>
      <c r="AD840" s="133" t="str">
        <f t="shared" si="182"/>
        <v>Closed In July</v>
      </c>
    </row>
    <row r="841" spans="1:30" hidden="1">
      <c r="A841" s="9">
        <v>46134</v>
      </c>
      <c r="B841" s="1">
        <v>2026</v>
      </c>
      <c r="C841" s="8" t="s">
        <v>26</v>
      </c>
      <c r="D841" s="11" t="s">
        <v>179</v>
      </c>
      <c r="E841" s="1"/>
      <c r="F841" s="1" t="s">
        <v>19</v>
      </c>
      <c r="G841" s="8" t="s">
        <v>180</v>
      </c>
      <c r="H841" s="8">
        <v>8248438488</v>
      </c>
      <c r="I841" s="10" t="s">
        <v>30</v>
      </c>
      <c r="J841" s="8" t="s">
        <v>181</v>
      </c>
      <c r="K841" s="8" t="s">
        <v>27</v>
      </c>
      <c r="L841" s="8" t="s">
        <v>28</v>
      </c>
      <c r="M841" s="2" t="s">
        <v>146</v>
      </c>
      <c r="N841" s="6" t="s">
        <v>138</v>
      </c>
      <c r="O841" s="11">
        <v>550</v>
      </c>
      <c r="P841" s="2" t="s">
        <v>1063</v>
      </c>
      <c r="Q841" s="12" t="str">
        <f t="shared" si="183"/>
        <v>23</v>
      </c>
      <c r="R841" s="12" t="str">
        <f t="shared" si="184"/>
        <v>06</v>
      </c>
      <c r="S841" s="6" t="s">
        <v>129</v>
      </c>
      <c r="T841" s="1" t="s">
        <v>130</v>
      </c>
      <c r="U841" s="6" t="s">
        <v>148</v>
      </c>
      <c r="V841" s="1" t="s">
        <v>143</v>
      </c>
      <c r="W841" s="1" t="s">
        <v>133</v>
      </c>
      <c r="X841" s="5">
        <v>46233</v>
      </c>
      <c r="Y841" s="1">
        <f t="shared" si="185"/>
        <v>99</v>
      </c>
      <c r="Z841" s="5">
        <v>46233</v>
      </c>
      <c r="AA841" s="3"/>
      <c r="AB841" s="3"/>
      <c r="AD841" s="133" t="str">
        <f t="shared" si="182"/>
        <v>Closed In July</v>
      </c>
    </row>
    <row r="842" spans="1:30" hidden="1">
      <c r="A842" s="9">
        <v>46134</v>
      </c>
      <c r="B842" s="1">
        <v>2026</v>
      </c>
      <c r="C842" s="8" t="s">
        <v>26</v>
      </c>
      <c r="D842" s="11" t="s">
        <v>179</v>
      </c>
      <c r="E842" s="1"/>
      <c r="F842" s="1" t="s">
        <v>19</v>
      </c>
      <c r="G842" s="8" t="s">
        <v>180</v>
      </c>
      <c r="H842" s="8">
        <v>8248438488</v>
      </c>
      <c r="I842" s="10" t="s">
        <v>30</v>
      </c>
      <c r="J842" s="8" t="s">
        <v>181</v>
      </c>
      <c r="K842" s="8" t="s">
        <v>27</v>
      </c>
      <c r="L842" s="8" t="s">
        <v>28</v>
      </c>
      <c r="M842" s="2" t="s">
        <v>146</v>
      </c>
      <c r="N842" s="6" t="s">
        <v>138</v>
      </c>
      <c r="O842" s="11">
        <v>550</v>
      </c>
      <c r="P842" s="2" t="s">
        <v>1064</v>
      </c>
      <c r="Q842" s="12" t="str">
        <f t="shared" si="183"/>
        <v>23</v>
      </c>
      <c r="R842" s="12" t="str">
        <f t="shared" si="184"/>
        <v>06</v>
      </c>
      <c r="S842" s="6" t="s">
        <v>129</v>
      </c>
      <c r="T842" s="1" t="s">
        <v>130</v>
      </c>
      <c r="U842" s="6" t="s">
        <v>148</v>
      </c>
      <c r="V842" s="1" t="s">
        <v>143</v>
      </c>
      <c r="W842" s="1" t="s">
        <v>133</v>
      </c>
      <c r="X842" s="5">
        <v>46233</v>
      </c>
      <c r="Y842" s="1">
        <f t="shared" si="185"/>
        <v>99</v>
      </c>
      <c r="Z842" s="5">
        <v>46233</v>
      </c>
      <c r="AA842" s="3"/>
      <c r="AB842" s="3"/>
      <c r="AD842" s="133" t="str">
        <f t="shared" si="182"/>
        <v>Closed In July</v>
      </c>
    </row>
    <row r="843" spans="1:30" hidden="1">
      <c r="A843" s="9">
        <v>46134</v>
      </c>
      <c r="B843" s="1">
        <v>2026</v>
      </c>
      <c r="C843" s="8" t="s">
        <v>26</v>
      </c>
      <c r="D843" s="11" t="s">
        <v>179</v>
      </c>
      <c r="E843" s="1"/>
      <c r="F843" s="1" t="s">
        <v>19</v>
      </c>
      <c r="G843" s="8" t="s">
        <v>180</v>
      </c>
      <c r="H843" s="8">
        <v>8248438488</v>
      </c>
      <c r="I843" s="10" t="s">
        <v>30</v>
      </c>
      <c r="J843" s="8" t="s">
        <v>181</v>
      </c>
      <c r="K843" s="8" t="s">
        <v>27</v>
      </c>
      <c r="L843" s="8" t="s">
        <v>28</v>
      </c>
      <c r="M843" s="2" t="s">
        <v>146</v>
      </c>
      <c r="N843" s="6" t="s">
        <v>138</v>
      </c>
      <c r="O843" s="11">
        <v>550</v>
      </c>
      <c r="P843" s="2" t="s">
        <v>1065</v>
      </c>
      <c r="Q843" s="12" t="str">
        <f t="shared" si="183"/>
        <v>23</v>
      </c>
      <c r="R843" s="12" t="str">
        <f t="shared" si="184"/>
        <v>06</v>
      </c>
      <c r="S843" s="6" t="s">
        <v>129</v>
      </c>
      <c r="T843" s="1" t="s">
        <v>130</v>
      </c>
      <c r="U843" s="6" t="s">
        <v>148</v>
      </c>
      <c r="V843" s="1" t="s">
        <v>143</v>
      </c>
      <c r="W843" s="1" t="s">
        <v>133</v>
      </c>
      <c r="X843" s="5">
        <v>46233</v>
      </c>
      <c r="Y843" s="1">
        <f t="shared" si="185"/>
        <v>99</v>
      </c>
      <c r="Z843" s="5">
        <v>46233</v>
      </c>
      <c r="AA843" s="3"/>
      <c r="AB843" s="3"/>
      <c r="AD843" s="133" t="str">
        <f t="shared" si="182"/>
        <v>Closed In July</v>
      </c>
    </row>
    <row r="844" spans="1:30" hidden="1">
      <c r="A844" s="9">
        <v>46134</v>
      </c>
      <c r="B844" s="1">
        <v>2026</v>
      </c>
      <c r="C844" s="8" t="s">
        <v>26</v>
      </c>
      <c r="D844" s="11" t="s">
        <v>179</v>
      </c>
      <c r="E844" s="1"/>
      <c r="F844" s="1" t="s">
        <v>19</v>
      </c>
      <c r="G844" s="8" t="s">
        <v>180</v>
      </c>
      <c r="H844" s="8">
        <v>8248438488</v>
      </c>
      <c r="I844" s="10" t="s">
        <v>30</v>
      </c>
      <c r="J844" s="8" t="s">
        <v>181</v>
      </c>
      <c r="K844" s="8" t="s">
        <v>27</v>
      </c>
      <c r="L844" s="8" t="s">
        <v>28</v>
      </c>
      <c r="M844" s="2" t="s">
        <v>146</v>
      </c>
      <c r="N844" s="6" t="s">
        <v>138</v>
      </c>
      <c r="O844" s="11">
        <v>550</v>
      </c>
      <c r="P844" s="2" t="s">
        <v>1066</v>
      </c>
      <c r="Q844" s="12" t="str">
        <f t="shared" ref="Q844" si="186">MID(P844,5,2)</f>
        <v>23</v>
      </c>
      <c r="R844" s="12" t="str">
        <f t="shared" ref="R844" si="187">MID(P844,7,2)</f>
        <v>06</v>
      </c>
      <c r="S844" s="6" t="s">
        <v>129</v>
      </c>
      <c r="T844" s="1" t="s">
        <v>130</v>
      </c>
      <c r="U844" s="6" t="s">
        <v>148</v>
      </c>
      <c r="V844" s="1" t="s">
        <v>143</v>
      </c>
      <c r="W844" s="1" t="s">
        <v>133</v>
      </c>
      <c r="X844" s="5">
        <v>46234</v>
      </c>
      <c r="Y844" s="1">
        <f t="shared" si="185"/>
        <v>100</v>
      </c>
      <c r="Z844" s="5">
        <v>46234</v>
      </c>
      <c r="AA844" s="3"/>
      <c r="AB844" s="3"/>
      <c r="AD844" s="133" t="str">
        <f t="shared" si="182"/>
        <v>Closed In July</v>
      </c>
    </row>
    <row r="845" spans="1:30" hidden="1">
      <c r="A845" s="9">
        <v>46134</v>
      </c>
      <c r="B845" s="1">
        <v>2026</v>
      </c>
      <c r="C845" s="8" t="s">
        <v>26</v>
      </c>
      <c r="D845" s="11" t="s">
        <v>179</v>
      </c>
      <c r="E845" s="1"/>
      <c r="F845" s="1" t="s">
        <v>19</v>
      </c>
      <c r="G845" s="8" t="s">
        <v>180</v>
      </c>
      <c r="H845" s="8">
        <v>8248438488</v>
      </c>
      <c r="I845" s="10" t="s">
        <v>30</v>
      </c>
      <c r="J845" s="8" t="s">
        <v>181</v>
      </c>
      <c r="K845" s="8" t="s">
        <v>27</v>
      </c>
      <c r="L845" s="8" t="s">
        <v>28</v>
      </c>
      <c r="M845" s="2" t="s">
        <v>146</v>
      </c>
      <c r="N845" s="6" t="s">
        <v>138</v>
      </c>
      <c r="O845" s="11">
        <v>550</v>
      </c>
      <c r="P845" s="2" t="s">
        <v>1067</v>
      </c>
      <c r="Q845" s="12" t="str">
        <f t="shared" ref="Q845:Q881" si="188">MID(P845,5,2)</f>
        <v>23</v>
      </c>
      <c r="R845" s="12" t="str">
        <f t="shared" ref="R845:R881" si="189">MID(P845,7,2)</f>
        <v>06</v>
      </c>
      <c r="S845" s="6" t="s">
        <v>129</v>
      </c>
      <c r="T845" s="1" t="s">
        <v>130</v>
      </c>
      <c r="U845" s="6" t="s">
        <v>148</v>
      </c>
      <c r="V845" s="1" t="s">
        <v>143</v>
      </c>
      <c r="W845" s="1" t="s">
        <v>133</v>
      </c>
      <c r="X845" s="5">
        <v>46234</v>
      </c>
      <c r="Y845" s="1">
        <f t="shared" ref="Y845:Y882" si="190">X845-A845</f>
        <v>100</v>
      </c>
      <c r="Z845" s="5">
        <v>46234</v>
      </c>
      <c r="AA845" s="3"/>
      <c r="AB845" s="3"/>
      <c r="AD845" s="133" t="str">
        <f t="shared" si="182"/>
        <v>Closed In July</v>
      </c>
    </row>
    <row r="846" spans="1:30" hidden="1">
      <c r="A846" s="9">
        <v>46134</v>
      </c>
      <c r="B846" s="1">
        <v>2026</v>
      </c>
      <c r="C846" s="8" t="s">
        <v>26</v>
      </c>
      <c r="D846" s="11" t="s">
        <v>179</v>
      </c>
      <c r="E846" s="1"/>
      <c r="F846" s="1" t="s">
        <v>19</v>
      </c>
      <c r="G846" s="8" t="s">
        <v>180</v>
      </c>
      <c r="H846" s="8">
        <v>8248438488</v>
      </c>
      <c r="I846" s="10" t="s">
        <v>30</v>
      </c>
      <c r="J846" s="8" t="s">
        <v>181</v>
      </c>
      <c r="K846" s="8" t="s">
        <v>27</v>
      </c>
      <c r="L846" s="8" t="s">
        <v>28</v>
      </c>
      <c r="M846" s="2" t="s">
        <v>146</v>
      </c>
      <c r="N846" s="6" t="s">
        <v>138</v>
      </c>
      <c r="O846" s="11">
        <v>550</v>
      </c>
      <c r="P846" s="2" t="s">
        <v>1068</v>
      </c>
      <c r="Q846" s="12" t="str">
        <f t="shared" si="188"/>
        <v>23</v>
      </c>
      <c r="R846" s="12" t="str">
        <f t="shared" si="189"/>
        <v>06</v>
      </c>
      <c r="S846" s="6" t="s">
        <v>129</v>
      </c>
      <c r="T846" s="1" t="s">
        <v>130</v>
      </c>
      <c r="U846" s="6" t="s">
        <v>148</v>
      </c>
      <c r="V846" s="1" t="s">
        <v>143</v>
      </c>
      <c r="W846" s="1" t="s">
        <v>133</v>
      </c>
      <c r="X846" s="5">
        <v>46234</v>
      </c>
      <c r="Y846" s="1">
        <f t="shared" si="190"/>
        <v>100</v>
      </c>
      <c r="Z846" s="5">
        <v>46234</v>
      </c>
      <c r="AA846" s="3"/>
      <c r="AB846" s="3"/>
      <c r="AD846" s="133" t="str">
        <f t="shared" si="182"/>
        <v>Closed In July</v>
      </c>
    </row>
    <row r="847" spans="1:30" hidden="1">
      <c r="A847" s="9">
        <v>46134</v>
      </c>
      <c r="B847" s="1">
        <v>2026</v>
      </c>
      <c r="C847" s="8" t="s">
        <v>26</v>
      </c>
      <c r="D847" s="11" t="s">
        <v>179</v>
      </c>
      <c r="E847" s="1"/>
      <c r="F847" s="1" t="s">
        <v>19</v>
      </c>
      <c r="G847" s="8" t="s">
        <v>180</v>
      </c>
      <c r="H847" s="8">
        <v>8248438488</v>
      </c>
      <c r="I847" s="10" t="s">
        <v>30</v>
      </c>
      <c r="J847" s="8" t="s">
        <v>181</v>
      </c>
      <c r="K847" s="8" t="s">
        <v>27</v>
      </c>
      <c r="L847" s="8" t="s">
        <v>28</v>
      </c>
      <c r="M847" s="2" t="s">
        <v>146</v>
      </c>
      <c r="N847" s="6" t="s">
        <v>138</v>
      </c>
      <c r="O847" s="11">
        <v>550</v>
      </c>
      <c r="P847" s="2" t="s">
        <v>1069</v>
      </c>
      <c r="Q847" s="12" t="str">
        <f t="shared" si="188"/>
        <v>23</v>
      </c>
      <c r="R847" s="12" t="str">
        <f t="shared" si="189"/>
        <v>06</v>
      </c>
      <c r="S847" s="6" t="s">
        <v>129</v>
      </c>
      <c r="T847" s="1" t="s">
        <v>130</v>
      </c>
      <c r="U847" s="6" t="s">
        <v>148</v>
      </c>
      <c r="V847" s="1" t="s">
        <v>143</v>
      </c>
      <c r="W847" s="1" t="s">
        <v>133</v>
      </c>
      <c r="X847" s="5">
        <v>46234</v>
      </c>
      <c r="Y847" s="1">
        <f t="shared" si="190"/>
        <v>100</v>
      </c>
      <c r="Z847" s="5">
        <v>46234</v>
      </c>
      <c r="AA847" s="3"/>
      <c r="AB847" s="3"/>
      <c r="AD847" s="133" t="str">
        <f t="shared" si="182"/>
        <v>Closed In July</v>
      </c>
    </row>
    <row r="848" spans="1:30" hidden="1">
      <c r="A848" s="9">
        <v>46134</v>
      </c>
      <c r="B848" s="1">
        <v>2026</v>
      </c>
      <c r="C848" s="8" t="s">
        <v>26</v>
      </c>
      <c r="D848" s="11" t="s">
        <v>179</v>
      </c>
      <c r="E848" s="1"/>
      <c r="F848" s="1" t="s">
        <v>19</v>
      </c>
      <c r="G848" s="8" t="s">
        <v>180</v>
      </c>
      <c r="H848" s="8">
        <v>8248438488</v>
      </c>
      <c r="I848" s="10" t="s">
        <v>30</v>
      </c>
      <c r="J848" s="8" t="s">
        <v>181</v>
      </c>
      <c r="K848" s="8" t="s">
        <v>27</v>
      </c>
      <c r="L848" s="8" t="s">
        <v>28</v>
      </c>
      <c r="M848" s="2" t="s">
        <v>146</v>
      </c>
      <c r="N848" s="6" t="s">
        <v>138</v>
      </c>
      <c r="O848" s="11">
        <v>550</v>
      </c>
      <c r="P848" s="2" t="s">
        <v>1070</v>
      </c>
      <c r="Q848" s="12" t="str">
        <f t="shared" si="188"/>
        <v>23</v>
      </c>
      <c r="R848" s="12" t="str">
        <f t="shared" si="189"/>
        <v>06</v>
      </c>
      <c r="S848" s="6" t="s">
        <v>129</v>
      </c>
      <c r="T848" s="1" t="s">
        <v>130</v>
      </c>
      <c r="U848" s="6" t="s">
        <v>148</v>
      </c>
      <c r="V848" s="1" t="s">
        <v>143</v>
      </c>
      <c r="W848" s="1" t="s">
        <v>133</v>
      </c>
      <c r="X848" s="5">
        <v>46234</v>
      </c>
      <c r="Y848" s="1">
        <f t="shared" si="190"/>
        <v>100</v>
      </c>
      <c r="Z848" s="5">
        <v>46234</v>
      </c>
      <c r="AA848" s="3"/>
      <c r="AB848" s="3"/>
      <c r="AD848" s="133" t="str">
        <f t="shared" si="182"/>
        <v>Closed In July</v>
      </c>
    </row>
    <row r="849" spans="1:30" hidden="1">
      <c r="A849" s="9">
        <v>46134</v>
      </c>
      <c r="B849" s="1">
        <v>2026</v>
      </c>
      <c r="C849" s="8" t="s">
        <v>26</v>
      </c>
      <c r="D849" s="11" t="s">
        <v>179</v>
      </c>
      <c r="E849" s="1"/>
      <c r="F849" s="1" t="s">
        <v>19</v>
      </c>
      <c r="G849" s="8" t="s">
        <v>180</v>
      </c>
      <c r="H849" s="8">
        <v>8248438488</v>
      </c>
      <c r="I849" s="10" t="s">
        <v>30</v>
      </c>
      <c r="J849" s="8" t="s">
        <v>181</v>
      </c>
      <c r="K849" s="8" t="s">
        <v>27</v>
      </c>
      <c r="L849" s="8" t="s">
        <v>28</v>
      </c>
      <c r="M849" s="2" t="s">
        <v>146</v>
      </c>
      <c r="N849" s="6" t="s">
        <v>138</v>
      </c>
      <c r="O849" s="11">
        <v>550</v>
      </c>
      <c r="P849" s="2" t="s">
        <v>1071</v>
      </c>
      <c r="Q849" s="12" t="str">
        <f t="shared" si="188"/>
        <v>23</v>
      </c>
      <c r="R849" s="12" t="str">
        <f t="shared" si="189"/>
        <v>06</v>
      </c>
      <c r="S849" s="6" t="s">
        <v>129</v>
      </c>
      <c r="T849" s="1" t="s">
        <v>130</v>
      </c>
      <c r="U849" s="6" t="s">
        <v>148</v>
      </c>
      <c r="V849" s="1" t="s">
        <v>143</v>
      </c>
      <c r="W849" s="1" t="s">
        <v>133</v>
      </c>
      <c r="X849" s="5">
        <v>46234</v>
      </c>
      <c r="Y849" s="1">
        <f t="shared" si="190"/>
        <v>100</v>
      </c>
      <c r="Z849" s="5">
        <v>46234</v>
      </c>
      <c r="AA849" s="3"/>
      <c r="AB849" s="3"/>
      <c r="AD849" s="133" t="str">
        <f t="shared" si="182"/>
        <v>Closed In July</v>
      </c>
    </row>
    <row r="850" spans="1:30" hidden="1">
      <c r="A850" s="9">
        <v>46134</v>
      </c>
      <c r="B850" s="1">
        <v>2026</v>
      </c>
      <c r="C850" s="8" t="s">
        <v>26</v>
      </c>
      <c r="D850" s="11" t="s">
        <v>179</v>
      </c>
      <c r="E850" s="1"/>
      <c r="F850" s="1" t="s">
        <v>19</v>
      </c>
      <c r="G850" s="8" t="s">
        <v>180</v>
      </c>
      <c r="H850" s="8">
        <v>8248438488</v>
      </c>
      <c r="I850" s="10" t="s">
        <v>30</v>
      </c>
      <c r="J850" s="8" t="s">
        <v>181</v>
      </c>
      <c r="K850" s="8" t="s">
        <v>27</v>
      </c>
      <c r="L850" s="8" t="s">
        <v>28</v>
      </c>
      <c r="M850" s="2" t="s">
        <v>146</v>
      </c>
      <c r="N850" s="6" t="s">
        <v>138</v>
      </c>
      <c r="O850" s="11">
        <v>550</v>
      </c>
      <c r="P850" s="2" t="s">
        <v>1072</v>
      </c>
      <c r="Q850" s="12" t="str">
        <f t="shared" si="188"/>
        <v>23</v>
      </c>
      <c r="R850" s="12" t="str">
        <f t="shared" si="189"/>
        <v>06</v>
      </c>
      <c r="S850" s="6" t="s">
        <v>129</v>
      </c>
      <c r="T850" s="1" t="s">
        <v>130</v>
      </c>
      <c r="U850" s="6" t="s">
        <v>148</v>
      </c>
      <c r="V850" s="1" t="s">
        <v>143</v>
      </c>
      <c r="W850" s="1" t="s">
        <v>133</v>
      </c>
      <c r="X850" s="5">
        <v>46234</v>
      </c>
      <c r="Y850" s="1">
        <f t="shared" si="190"/>
        <v>100</v>
      </c>
      <c r="Z850" s="5">
        <v>46234</v>
      </c>
      <c r="AA850" s="3"/>
      <c r="AB850" s="3"/>
      <c r="AD850" s="133" t="str">
        <f t="shared" si="182"/>
        <v>Closed In July</v>
      </c>
    </row>
    <row r="851" spans="1:30" hidden="1">
      <c r="A851" s="9">
        <v>46134</v>
      </c>
      <c r="B851" s="1">
        <v>2026</v>
      </c>
      <c r="C851" s="8" t="s">
        <v>26</v>
      </c>
      <c r="D851" s="11" t="s">
        <v>179</v>
      </c>
      <c r="E851" s="1"/>
      <c r="F851" s="1" t="s">
        <v>19</v>
      </c>
      <c r="G851" s="8" t="s">
        <v>180</v>
      </c>
      <c r="H851" s="8">
        <v>8248438488</v>
      </c>
      <c r="I851" s="10" t="s">
        <v>30</v>
      </c>
      <c r="J851" s="8" t="s">
        <v>181</v>
      </c>
      <c r="K851" s="8" t="s">
        <v>27</v>
      </c>
      <c r="L851" s="8" t="s">
        <v>28</v>
      </c>
      <c r="M851" s="2" t="s">
        <v>146</v>
      </c>
      <c r="N851" s="6" t="s">
        <v>138</v>
      </c>
      <c r="O851" s="11">
        <v>550</v>
      </c>
      <c r="P851" s="2" t="s">
        <v>1073</v>
      </c>
      <c r="Q851" s="12" t="str">
        <f t="shared" si="188"/>
        <v>23</v>
      </c>
      <c r="R851" s="12" t="str">
        <f t="shared" si="189"/>
        <v>06</v>
      </c>
      <c r="S851" s="6" t="s">
        <v>129</v>
      </c>
      <c r="T851" s="1" t="s">
        <v>130</v>
      </c>
      <c r="U851" s="6" t="s">
        <v>148</v>
      </c>
      <c r="V851" s="1" t="s">
        <v>143</v>
      </c>
      <c r="W851" s="1" t="s">
        <v>133</v>
      </c>
      <c r="X851" s="5">
        <v>46234</v>
      </c>
      <c r="Y851" s="1">
        <f t="shared" si="190"/>
        <v>100</v>
      </c>
      <c r="Z851" s="5">
        <v>46234</v>
      </c>
      <c r="AA851" s="3"/>
      <c r="AB851" s="3"/>
      <c r="AD851" s="133" t="str">
        <f t="shared" si="182"/>
        <v>Closed In July</v>
      </c>
    </row>
    <row r="852" spans="1:30" hidden="1">
      <c r="A852" s="9">
        <v>46134</v>
      </c>
      <c r="B852" s="1">
        <v>2026</v>
      </c>
      <c r="C852" s="8" t="s">
        <v>26</v>
      </c>
      <c r="D852" s="11" t="s">
        <v>179</v>
      </c>
      <c r="E852" s="1"/>
      <c r="F852" s="1" t="s">
        <v>19</v>
      </c>
      <c r="G852" s="8" t="s">
        <v>180</v>
      </c>
      <c r="H852" s="8">
        <v>8248438488</v>
      </c>
      <c r="I852" s="10" t="s">
        <v>30</v>
      </c>
      <c r="J852" s="8" t="s">
        <v>181</v>
      </c>
      <c r="K852" s="8" t="s">
        <v>27</v>
      </c>
      <c r="L852" s="8" t="s">
        <v>28</v>
      </c>
      <c r="M852" s="2" t="s">
        <v>146</v>
      </c>
      <c r="N852" s="6" t="s">
        <v>138</v>
      </c>
      <c r="O852" s="11">
        <v>550</v>
      </c>
      <c r="P852" s="2" t="s">
        <v>1074</v>
      </c>
      <c r="Q852" s="12" t="str">
        <f t="shared" si="188"/>
        <v>23</v>
      </c>
      <c r="R852" s="12" t="str">
        <f t="shared" si="189"/>
        <v>06</v>
      </c>
      <c r="S852" s="6" t="s">
        <v>129</v>
      </c>
      <c r="T852" s="1" t="s">
        <v>130</v>
      </c>
      <c r="U852" s="6" t="s">
        <v>148</v>
      </c>
      <c r="V852" s="1" t="s">
        <v>143</v>
      </c>
      <c r="W852" s="1" t="s">
        <v>133</v>
      </c>
      <c r="X852" s="5">
        <v>46234</v>
      </c>
      <c r="Y852" s="1">
        <f t="shared" si="190"/>
        <v>100</v>
      </c>
      <c r="Z852" s="5">
        <v>46234</v>
      </c>
      <c r="AA852" s="3"/>
      <c r="AB852" s="3"/>
      <c r="AD852" s="133" t="str">
        <f t="shared" si="182"/>
        <v>Closed In July</v>
      </c>
    </row>
    <row r="853" spans="1:30" hidden="1">
      <c r="A853" s="9">
        <v>46134</v>
      </c>
      <c r="B853" s="1">
        <v>2026</v>
      </c>
      <c r="C853" s="8" t="s">
        <v>26</v>
      </c>
      <c r="D853" s="11" t="s">
        <v>179</v>
      </c>
      <c r="E853" s="1"/>
      <c r="F853" s="1" t="s">
        <v>19</v>
      </c>
      <c r="G853" s="8" t="s">
        <v>180</v>
      </c>
      <c r="H853" s="8">
        <v>8248438488</v>
      </c>
      <c r="I853" s="10" t="s">
        <v>30</v>
      </c>
      <c r="J853" s="8" t="s">
        <v>181</v>
      </c>
      <c r="K853" s="8" t="s">
        <v>27</v>
      </c>
      <c r="L853" s="8" t="s">
        <v>28</v>
      </c>
      <c r="M853" s="2" t="s">
        <v>146</v>
      </c>
      <c r="N853" s="6" t="s">
        <v>138</v>
      </c>
      <c r="O853" s="11">
        <v>550</v>
      </c>
      <c r="P853" s="2" t="s">
        <v>1075</v>
      </c>
      <c r="Q853" s="12" t="str">
        <f t="shared" si="188"/>
        <v>23</v>
      </c>
      <c r="R853" s="12" t="str">
        <f t="shared" si="189"/>
        <v>06</v>
      </c>
      <c r="S853" s="6" t="s">
        <v>129</v>
      </c>
      <c r="T853" s="1" t="s">
        <v>130</v>
      </c>
      <c r="U853" s="6" t="s">
        <v>148</v>
      </c>
      <c r="V853" s="1" t="s">
        <v>143</v>
      </c>
      <c r="W853" s="1" t="s">
        <v>133</v>
      </c>
      <c r="X853" s="5">
        <v>46234</v>
      </c>
      <c r="Y853" s="1">
        <f t="shared" si="190"/>
        <v>100</v>
      </c>
      <c r="Z853" s="5">
        <v>46234</v>
      </c>
      <c r="AA853" s="3"/>
      <c r="AB853" s="3"/>
      <c r="AD853" s="133" t="str">
        <f t="shared" si="182"/>
        <v>Closed In July</v>
      </c>
    </row>
    <row r="854" spans="1:30" hidden="1">
      <c r="A854" s="9">
        <v>46134</v>
      </c>
      <c r="B854" s="1">
        <v>2026</v>
      </c>
      <c r="C854" s="8" t="s">
        <v>26</v>
      </c>
      <c r="D854" s="11" t="s">
        <v>179</v>
      </c>
      <c r="E854" s="1"/>
      <c r="F854" s="1" t="s">
        <v>19</v>
      </c>
      <c r="G854" s="8" t="s">
        <v>180</v>
      </c>
      <c r="H854" s="8">
        <v>8248438488</v>
      </c>
      <c r="I854" s="10" t="s">
        <v>30</v>
      </c>
      <c r="J854" s="8" t="s">
        <v>181</v>
      </c>
      <c r="K854" s="8" t="s">
        <v>27</v>
      </c>
      <c r="L854" s="8" t="s">
        <v>28</v>
      </c>
      <c r="M854" s="2" t="s">
        <v>146</v>
      </c>
      <c r="N854" s="6" t="s">
        <v>138</v>
      </c>
      <c r="O854" s="11">
        <v>550</v>
      </c>
      <c r="P854" s="2" t="s">
        <v>1076</v>
      </c>
      <c r="Q854" s="12" t="str">
        <f t="shared" si="188"/>
        <v>23</v>
      </c>
      <c r="R854" s="12" t="str">
        <f t="shared" si="189"/>
        <v>06</v>
      </c>
      <c r="S854" s="6" t="s">
        <v>129</v>
      </c>
      <c r="T854" s="1" t="s">
        <v>130</v>
      </c>
      <c r="U854" s="6" t="s">
        <v>148</v>
      </c>
      <c r="V854" s="1" t="s">
        <v>143</v>
      </c>
      <c r="W854" s="1" t="s">
        <v>133</v>
      </c>
      <c r="X854" s="5">
        <v>46234</v>
      </c>
      <c r="Y854" s="1">
        <f t="shared" si="190"/>
        <v>100</v>
      </c>
      <c r="Z854" s="5">
        <v>46234</v>
      </c>
      <c r="AA854" s="3"/>
      <c r="AB854" s="3"/>
      <c r="AD854" s="133" t="str">
        <f t="shared" si="182"/>
        <v>Closed In July</v>
      </c>
    </row>
    <row r="855" spans="1:30" hidden="1">
      <c r="A855" s="9">
        <v>46134</v>
      </c>
      <c r="B855" s="1">
        <v>2026</v>
      </c>
      <c r="C855" s="8" t="s">
        <v>26</v>
      </c>
      <c r="D855" s="11" t="s">
        <v>179</v>
      </c>
      <c r="E855" s="1"/>
      <c r="F855" s="1" t="s">
        <v>19</v>
      </c>
      <c r="G855" s="8" t="s">
        <v>180</v>
      </c>
      <c r="H855" s="8">
        <v>8248438488</v>
      </c>
      <c r="I855" s="10" t="s">
        <v>30</v>
      </c>
      <c r="J855" s="8" t="s">
        <v>181</v>
      </c>
      <c r="K855" s="8" t="s">
        <v>27</v>
      </c>
      <c r="L855" s="8" t="s">
        <v>28</v>
      </c>
      <c r="M855" s="2" t="s">
        <v>146</v>
      </c>
      <c r="N855" s="6" t="s">
        <v>138</v>
      </c>
      <c r="O855" s="11">
        <v>550</v>
      </c>
      <c r="P855" s="2" t="s">
        <v>1077</v>
      </c>
      <c r="Q855" s="12" t="str">
        <f t="shared" si="188"/>
        <v>23</v>
      </c>
      <c r="R855" s="12" t="str">
        <f t="shared" si="189"/>
        <v>06</v>
      </c>
      <c r="S855" s="6" t="s">
        <v>129</v>
      </c>
      <c r="T855" s="1" t="s">
        <v>130</v>
      </c>
      <c r="U855" s="6" t="s">
        <v>148</v>
      </c>
      <c r="V855" s="1" t="s">
        <v>143</v>
      </c>
      <c r="W855" s="1" t="s">
        <v>133</v>
      </c>
      <c r="X855" s="5">
        <v>46234</v>
      </c>
      <c r="Y855" s="1">
        <f t="shared" si="190"/>
        <v>100</v>
      </c>
      <c r="Z855" s="5">
        <v>46234</v>
      </c>
      <c r="AA855" s="3"/>
      <c r="AB855" s="3"/>
      <c r="AD855" s="133" t="str">
        <f t="shared" si="182"/>
        <v>Closed In July</v>
      </c>
    </row>
    <row r="856" spans="1:30" hidden="1">
      <c r="A856" s="9">
        <v>46134</v>
      </c>
      <c r="B856" s="1">
        <v>2026</v>
      </c>
      <c r="C856" s="8" t="s">
        <v>26</v>
      </c>
      <c r="D856" s="11" t="s">
        <v>179</v>
      </c>
      <c r="E856" s="1"/>
      <c r="F856" s="1" t="s">
        <v>19</v>
      </c>
      <c r="G856" s="8" t="s">
        <v>180</v>
      </c>
      <c r="H856" s="8">
        <v>8248438488</v>
      </c>
      <c r="I856" s="10" t="s">
        <v>30</v>
      </c>
      <c r="J856" s="8" t="s">
        <v>181</v>
      </c>
      <c r="K856" s="8" t="s">
        <v>27</v>
      </c>
      <c r="L856" s="8" t="s">
        <v>28</v>
      </c>
      <c r="M856" s="2" t="s">
        <v>146</v>
      </c>
      <c r="N856" s="6" t="s">
        <v>138</v>
      </c>
      <c r="O856" s="11">
        <v>550</v>
      </c>
      <c r="P856" s="2" t="s">
        <v>1078</v>
      </c>
      <c r="Q856" s="12" t="str">
        <f t="shared" si="188"/>
        <v>23</v>
      </c>
      <c r="R856" s="12" t="str">
        <f t="shared" si="189"/>
        <v>06</v>
      </c>
      <c r="S856" s="6" t="s">
        <v>129</v>
      </c>
      <c r="T856" s="1" t="s">
        <v>130</v>
      </c>
      <c r="U856" s="6" t="s">
        <v>148</v>
      </c>
      <c r="V856" s="1" t="s">
        <v>143</v>
      </c>
      <c r="W856" s="1" t="s">
        <v>133</v>
      </c>
      <c r="X856" s="5">
        <v>46234</v>
      </c>
      <c r="Y856" s="1">
        <f t="shared" si="190"/>
        <v>100</v>
      </c>
      <c r="Z856" s="5">
        <v>46234</v>
      </c>
      <c r="AA856" s="3"/>
      <c r="AB856" s="3"/>
      <c r="AD856" s="133" t="str">
        <f t="shared" si="182"/>
        <v>Closed In July</v>
      </c>
    </row>
    <row r="857" spans="1:30" hidden="1">
      <c r="A857" s="9">
        <v>46134</v>
      </c>
      <c r="B857" s="1">
        <v>2026</v>
      </c>
      <c r="C857" s="8" t="s">
        <v>26</v>
      </c>
      <c r="D857" s="11" t="s">
        <v>179</v>
      </c>
      <c r="E857" s="1"/>
      <c r="F857" s="1" t="s">
        <v>19</v>
      </c>
      <c r="G857" s="8" t="s">
        <v>180</v>
      </c>
      <c r="H857" s="8">
        <v>8248438488</v>
      </c>
      <c r="I857" s="10" t="s">
        <v>30</v>
      </c>
      <c r="J857" s="8" t="s">
        <v>181</v>
      </c>
      <c r="K857" s="8" t="s">
        <v>27</v>
      </c>
      <c r="L857" s="8" t="s">
        <v>28</v>
      </c>
      <c r="M857" s="2" t="s">
        <v>146</v>
      </c>
      <c r="N857" s="6" t="s">
        <v>138</v>
      </c>
      <c r="O857" s="11">
        <v>550</v>
      </c>
      <c r="P857" s="2" t="s">
        <v>1079</v>
      </c>
      <c r="Q857" s="12" t="str">
        <f t="shared" si="188"/>
        <v>23</v>
      </c>
      <c r="R857" s="12" t="str">
        <f t="shared" si="189"/>
        <v>06</v>
      </c>
      <c r="S857" s="6" t="s">
        <v>129</v>
      </c>
      <c r="T857" s="1" t="s">
        <v>130</v>
      </c>
      <c r="U857" s="6" t="s">
        <v>148</v>
      </c>
      <c r="V857" s="1" t="s">
        <v>143</v>
      </c>
      <c r="W857" s="1" t="s">
        <v>133</v>
      </c>
      <c r="X857" s="5">
        <v>46234</v>
      </c>
      <c r="Y857" s="1">
        <f t="shared" si="190"/>
        <v>100</v>
      </c>
      <c r="Z857" s="5">
        <v>46234</v>
      </c>
      <c r="AA857" s="3"/>
      <c r="AB857" s="3"/>
      <c r="AD857" s="133" t="str">
        <f t="shared" si="182"/>
        <v>Closed In July</v>
      </c>
    </row>
    <row r="858" spans="1:30" hidden="1">
      <c r="A858" s="9">
        <v>46134</v>
      </c>
      <c r="B858" s="1">
        <v>2026</v>
      </c>
      <c r="C858" s="8" t="s">
        <v>26</v>
      </c>
      <c r="D858" s="8" t="s">
        <v>134</v>
      </c>
      <c r="E858" s="1"/>
      <c r="F858" s="1" t="s">
        <v>19</v>
      </c>
      <c r="G858" s="8" t="s">
        <v>180</v>
      </c>
      <c r="H858" s="8">
        <v>8248438488</v>
      </c>
      <c r="I858" s="10" t="s">
        <v>30</v>
      </c>
      <c r="J858" s="8" t="s">
        <v>181</v>
      </c>
      <c r="K858" s="8" t="s">
        <v>27</v>
      </c>
      <c r="L858" s="8" t="s">
        <v>28</v>
      </c>
      <c r="M858" s="2" t="s">
        <v>146</v>
      </c>
      <c r="N858" s="6" t="s">
        <v>138</v>
      </c>
      <c r="O858" s="11">
        <v>550</v>
      </c>
      <c r="P858" s="2" t="s">
        <v>1080</v>
      </c>
      <c r="Q858" s="12" t="str">
        <f t="shared" si="188"/>
        <v>23</v>
      </c>
      <c r="R858" s="12" t="str">
        <f t="shared" si="189"/>
        <v>06</v>
      </c>
      <c r="S858" s="6" t="s">
        <v>129</v>
      </c>
      <c r="T858" s="1" t="s">
        <v>130</v>
      </c>
      <c r="U858" s="6" t="s">
        <v>148</v>
      </c>
      <c r="V858" s="1" t="s">
        <v>143</v>
      </c>
      <c r="W858" s="1" t="s">
        <v>133</v>
      </c>
      <c r="X858" s="5">
        <v>46234</v>
      </c>
      <c r="Y858" s="1">
        <f t="shared" si="190"/>
        <v>100</v>
      </c>
      <c r="Z858" s="5">
        <v>46234</v>
      </c>
      <c r="AA858" s="3"/>
      <c r="AB858" s="3"/>
      <c r="AD858" s="133" t="str">
        <f t="shared" si="182"/>
        <v>Closed In July</v>
      </c>
    </row>
    <row r="859" spans="1:30" hidden="1">
      <c r="A859" s="9">
        <v>46134</v>
      </c>
      <c r="B859" s="1">
        <v>2026</v>
      </c>
      <c r="C859" s="8" t="s">
        <v>26</v>
      </c>
      <c r="D859" s="8" t="s">
        <v>134</v>
      </c>
      <c r="E859" s="1"/>
      <c r="F859" s="1" t="s">
        <v>19</v>
      </c>
      <c r="G859" s="8" t="s">
        <v>180</v>
      </c>
      <c r="H859" s="8">
        <v>8248438488</v>
      </c>
      <c r="I859" s="10" t="s">
        <v>30</v>
      </c>
      <c r="J859" s="8" t="s">
        <v>181</v>
      </c>
      <c r="K859" s="8" t="s">
        <v>27</v>
      </c>
      <c r="L859" s="8" t="s">
        <v>28</v>
      </c>
      <c r="M859" s="2" t="s">
        <v>146</v>
      </c>
      <c r="N859" s="6" t="s">
        <v>138</v>
      </c>
      <c r="O859" s="11">
        <v>550</v>
      </c>
      <c r="P859" s="2" t="s">
        <v>1081</v>
      </c>
      <c r="Q859" s="12" t="str">
        <f t="shared" si="188"/>
        <v>23</v>
      </c>
      <c r="R859" s="12" t="str">
        <f t="shared" si="189"/>
        <v>06</v>
      </c>
      <c r="S859" s="6" t="s">
        <v>129</v>
      </c>
      <c r="T859" s="1" t="s">
        <v>130</v>
      </c>
      <c r="U859" s="6" t="s">
        <v>148</v>
      </c>
      <c r="V859" s="1" t="s">
        <v>143</v>
      </c>
      <c r="W859" s="1" t="s">
        <v>133</v>
      </c>
      <c r="X859" s="5">
        <v>46234</v>
      </c>
      <c r="Y859" s="1">
        <f t="shared" si="190"/>
        <v>100</v>
      </c>
      <c r="Z859" s="5">
        <v>46234</v>
      </c>
      <c r="AA859" s="3"/>
      <c r="AB859" s="3"/>
      <c r="AD859" s="133" t="str">
        <f t="shared" si="182"/>
        <v>Closed In July</v>
      </c>
    </row>
    <row r="860" spans="1:30" hidden="1">
      <c r="A860" s="9">
        <v>46134</v>
      </c>
      <c r="B860" s="1">
        <v>2026</v>
      </c>
      <c r="C860" s="8" t="s">
        <v>26</v>
      </c>
      <c r="D860" s="8" t="s">
        <v>134</v>
      </c>
      <c r="E860" s="1"/>
      <c r="F860" s="1" t="s">
        <v>19</v>
      </c>
      <c r="G860" s="8" t="s">
        <v>180</v>
      </c>
      <c r="H860" s="8">
        <v>8248438488</v>
      </c>
      <c r="I860" s="10" t="s">
        <v>30</v>
      </c>
      <c r="J860" s="8" t="s">
        <v>181</v>
      </c>
      <c r="K860" s="8" t="s">
        <v>27</v>
      </c>
      <c r="L860" s="8" t="s">
        <v>28</v>
      </c>
      <c r="M860" s="2" t="s">
        <v>146</v>
      </c>
      <c r="N860" s="6" t="s">
        <v>138</v>
      </c>
      <c r="O860" s="11">
        <v>550</v>
      </c>
      <c r="P860" s="2" t="s">
        <v>1082</v>
      </c>
      <c r="Q860" s="12" t="str">
        <f t="shared" si="188"/>
        <v>23</v>
      </c>
      <c r="R860" s="12" t="str">
        <f t="shared" si="189"/>
        <v>06</v>
      </c>
      <c r="S860" s="6" t="s">
        <v>129</v>
      </c>
      <c r="T860" s="1" t="s">
        <v>130</v>
      </c>
      <c r="U860" s="6" t="s">
        <v>148</v>
      </c>
      <c r="V860" s="1" t="s">
        <v>143</v>
      </c>
      <c r="W860" s="1" t="s">
        <v>133</v>
      </c>
      <c r="X860" s="5">
        <v>46234</v>
      </c>
      <c r="Y860" s="1">
        <f t="shared" si="190"/>
        <v>100</v>
      </c>
      <c r="Z860" s="5">
        <v>46234</v>
      </c>
      <c r="AA860" s="3"/>
      <c r="AB860" s="3"/>
      <c r="AD860" s="133" t="str">
        <f t="shared" si="182"/>
        <v>Closed In July</v>
      </c>
    </row>
    <row r="861" spans="1:30" hidden="1">
      <c r="A861" s="9">
        <v>46134</v>
      </c>
      <c r="B861" s="1">
        <v>2026</v>
      </c>
      <c r="C861" s="8" t="s">
        <v>26</v>
      </c>
      <c r="D861" s="8" t="s">
        <v>134</v>
      </c>
      <c r="E861" s="1"/>
      <c r="F861" s="1" t="s">
        <v>19</v>
      </c>
      <c r="G861" s="8" t="s">
        <v>180</v>
      </c>
      <c r="H861" s="8">
        <v>8248438488</v>
      </c>
      <c r="I861" s="10" t="s">
        <v>30</v>
      </c>
      <c r="J861" s="8" t="s">
        <v>181</v>
      </c>
      <c r="K861" s="8" t="s">
        <v>27</v>
      </c>
      <c r="L861" s="8" t="s">
        <v>28</v>
      </c>
      <c r="M861" s="2" t="s">
        <v>146</v>
      </c>
      <c r="N861" s="6" t="s">
        <v>138</v>
      </c>
      <c r="O861" s="11">
        <v>550</v>
      </c>
      <c r="P861" s="2" t="s">
        <v>1083</v>
      </c>
      <c r="Q861" s="12" t="str">
        <f t="shared" si="188"/>
        <v>23</v>
      </c>
      <c r="R861" s="12" t="str">
        <f t="shared" si="189"/>
        <v>06</v>
      </c>
      <c r="S861" s="6" t="s">
        <v>129</v>
      </c>
      <c r="T861" s="1" t="s">
        <v>130</v>
      </c>
      <c r="U861" s="6" t="s">
        <v>148</v>
      </c>
      <c r="V861" s="1" t="s">
        <v>143</v>
      </c>
      <c r="W861" s="1" t="s">
        <v>133</v>
      </c>
      <c r="X861" s="5">
        <v>46234</v>
      </c>
      <c r="Y861" s="1">
        <f t="shared" si="190"/>
        <v>100</v>
      </c>
      <c r="Z861" s="5">
        <v>46234</v>
      </c>
      <c r="AA861" s="3"/>
      <c r="AB861" s="3"/>
      <c r="AD861" s="133" t="str">
        <f t="shared" si="182"/>
        <v>Closed In July</v>
      </c>
    </row>
    <row r="862" spans="1:30" hidden="1">
      <c r="A862" s="9">
        <v>46134</v>
      </c>
      <c r="B862" s="1">
        <v>2026</v>
      </c>
      <c r="C862" s="8" t="s">
        <v>26</v>
      </c>
      <c r="D862" s="8" t="s">
        <v>134</v>
      </c>
      <c r="E862" s="1"/>
      <c r="F862" s="1" t="s">
        <v>19</v>
      </c>
      <c r="G862" s="8" t="s">
        <v>180</v>
      </c>
      <c r="H862" s="8">
        <v>8248438488</v>
      </c>
      <c r="I862" s="10" t="s">
        <v>30</v>
      </c>
      <c r="J862" s="8" t="s">
        <v>181</v>
      </c>
      <c r="K862" s="8" t="s">
        <v>27</v>
      </c>
      <c r="L862" s="8" t="s">
        <v>28</v>
      </c>
      <c r="M862" s="2" t="s">
        <v>146</v>
      </c>
      <c r="N862" s="6" t="s">
        <v>138</v>
      </c>
      <c r="O862" s="11">
        <v>550</v>
      </c>
      <c r="P862" s="2" t="s">
        <v>1084</v>
      </c>
      <c r="Q862" s="12" t="str">
        <f t="shared" si="188"/>
        <v>23</v>
      </c>
      <c r="R862" s="12" t="str">
        <f t="shared" si="189"/>
        <v>06</v>
      </c>
      <c r="S862" s="6" t="s">
        <v>129</v>
      </c>
      <c r="T862" s="1" t="s">
        <v>130</v>
      </c>
      <c r="U862" s="6" t="s">
        <v>148</v>
      </c>
      <c r="V862" s="1" t="s">
        <v>143</v>
      </c>
      <c r="W862" s="1" t="s">
        <v>133</v>
      </c>
      <c r="X862" s="5">
        <v>46234</v>
      </c>
      <c r="Y862" s="1">
        <f t="shared" si="190"/>
        <v>100</v>
      </c>
      <c r="Z862" s="5">
        <v>46234</v>
      </c>
      <c r="AA862" s="3"/>
      <c r="AB862" s="3"/>
      <c r="AD862" s="133" t="str">
        <f t="shared" si="182"/>
        <v>Closed In July</v>
      </c>
    </row>
    <row r="863" spans="1:30" hidden="1">
      <c r="A863" s="9">
        <v>46134</v>
      </c>
      <c r="B863" s="1">
        <v>2026</v>
      </c>
      <c r="C863" s="8" t="s">
        <v>26</v>
      </c>
      <c r="D863" s="8" t="s">
        <v>134</v>
      </c>
      <c r="E863" s="1"/>
      <c r="F863" s="1" t="s">
        <v>19</v>
      </c>
      <c r="G863" s="8" t="s">
        <v>180</v>
      </c>
      <c r="H863" s="8">
        <v>8248438488</v>
      </c>
      <c r="I863" s="10" t="s">
        <v>30</v>
      </c>
      <c r="J863" s="8" t="s">
        <v>181</v>
      </c>
      <c r="K863" s="8" t="s">
        <v>27</v>
      </c>
      <c r="L863" s="8" t="s">
        <v>28</v>
      </c>
      <c r="M863" s="2" t="s">
        <v>146</v>
      </c>
      <c r="N863" s="6" t="s">
        <v>138</v>
      </c>
      <c r="O863" s="11">
        <v>550</v>
      </c>
      <c r="P863" s="2" t="s">
        <v>1085</v>
      </c>
      <c r="Q863" s="12" t="str">
        <f t="shared" si="188"/>
        <v>23</v>
      </c>
      <c r="R863" s="12" t="str">
        <f t="shared" si="189"/>
        <v>06</v>
      </c>
      <c r="S863" s="6" t="s">
        <v>129</v>
      </c>
      <c r="T863" s="1" t="s">
        <v>130</v>
      </c>
      <c r="U863" s="6" t="s">
        <v>148</v>
      </c>
      <c r="V863" s="1" t="s">
        <v>143</v>
      </c>
      <c r="W863" s="1" t="s">
        <v>133</v>
      </c>
      <c r="X863" s="5">
        <v>46234</v>
      </c>
      <c r="Y863" s="1">
        <f t="shared" si="190"/>
        <v>100</v>
      </c>
      <c r="Z863" s="5">
        <v>46234</v>
      </c>
      <c r="AA863" s="3"/>
      <c r="AB863" s="3"/>
      <c r="AD863" s="133" t="str">
        <f t="shared" si="182"/>
        <v>Closed In July</v>
      </c>
    </row>
    <row r="864" spans="1:30" hidden="1">
      <c r="A864" s="9">
        <v>46134</v>
      </c>
      <c r="B864" s="1">
        <v>2026</v>
      </c>
      <c r="C864" s="8" t="s">
        <v>26</v>
      </c>
      <c r="D864" s="8" t="s">
        <v>134</v>
      </c>
      <c r="E864" s="1"/>
      <c r="F864" s="1" t="s">
        <v>19</v>
      </c>
      <c r="G864" s="8" t="s">
        <v>180</v>
      </c>
      <c r="H864" s="8">
        <v>8248438488</v>
      </c>
      <c r="I864" s="10" t="s">
        <v>30</v>
      </c>
      <c r="J864" s="8" t="s">
        <v>181</v>
      </c>
      <c r="K864" s="8" t="s">
        <v>27</v>
      </c>
      <c r="L864" s="8" t="s">
        <v>28</v>
      </c>
      <c r="M864" s="2" t="s">
        <v>146</v>
      </c>
      <c r="N864" s="6" t="s">
        <v>138</v>
      </c>
      <c r="O864" s="11">
        <v>550</v>
      </c>
      <c r="P864" s="2" t="s">
        <v>1086</v>
      </c>
      <c r="Q864" s="12" t="str">
        <f t="shared" si="188"/>
        <v>23</v>
      </c>
      <c r="R864" s="12" t="str">
        <f t="shared" si="189"/>
        <v>06</v>
      </c>
      <c r="S864" s="6" t="s">
        <v>129</v>
      </c>
      <c r="T864" s="1" t="s">
        <v>130</v>
      </c>
      <c r="U864" s="6" t="s">
        <v>148</v>
      </c>
      <c r="V864" s="1" t="s">
        <v>143</v>
      </c>
      <c r="W864" s="1" t="s">
        <v>133</v>
      </c>
      <c r="X864" s="5">
        <v>46234</v>
      </c>
      <c r="Y864" s="1">
        <f t="shared" si="190"/>
        <v>100</v>
      </c>
      <c r="Z864" s="5">
        <v>46234</v>
      </c>
      <c r="AA864" s="3"/>
      <c r="AB864" s="3"/>
      <c r="AD864" s="133" t="str">
        <f t="shared" si="182"/>
        <v>Closed In July</v>
      </c>
    </row>
    <row r="865" spans="1:30" hidden="1">
      <c r="A865" s="9">
        <v>46134</v>
      </c>
      <c r="B865" s="1">
        <v>2026</v>
      </c>
      <c r="C865" s="8" t="s">
        <v>26</v>
      </c>
      <c r="D865" s="8" t="s">
        <v>134</v>
      </c>
      <c r="E865" s="1"/>
      <c r="F865" s="1" t="s">
        <v>19</v>
      </c>
      <c r="G865" s="8" t="s">
        <v>180</v>
      </c>
      <c r="H865" s="8">
        <v>8248438488</v>
      </c>
      <c r="I865" s="10" t="s">
        <v>30</v>
      </c>
      <c r="J865" s="8" t="s">
        <v>181</v>
      </c>
      <c r="K865" s="8" t="s">
        <v>27</v>
      </c>
      <c r="L865" s="8" t="s">
        <v>28</v>
      </c>
      <c r="M865" s="2" t="s">
        <v>146</v>
      </c>
      <c r="N865" s="6" t="s">
        <v>138</v>
      </c>
      <c r="O865" s="11">
        <v>550</v>
      </c>
      <c r="P865" s="2" t="s">
        <v>1087</v>
      </c>
      <c r="Q865" s="12" t="str">
        <f t="shared" si="188"/>
        <v>23</v>
      </c>
      <c r="R865" s="12" t="str">
        <f t="shared" si="189"/>
        <v>06</v>
      </c>
      <c r="S865" s="6" t="s">
        <v>129</v>
      </c>
      <c r="T865" s="1" t="s">
        <v>130</v>
      </c>
      <c r="U865" s="6" t="s">
        <v>148</v>
      </c>
      <c r="V865" s="1" t="s">
        <v>143</v>
      </c>
      <c r="W865" s="1" t="s">
        <v>133</v>
      </c>
      <c r="X865" s="5">
        <v>46234</v>
      </c>
      <c r="Y865" s="1">
        <f t="shared" si="190"/>
        <v>100</v>
      </c>
      <c r="Z865" s="5">
        <v>46234</v>
      </c>
      <c r="AA865" s="3"/>
      <c r="AB865" s="3"/>
      <c r="AD865" s="133" t="str">
        <f t="shared" si="182"/>
        <v>Closed In July</v>
      </c>
    </row>
    <row r="866" spans="1:30" hidden="1">
      <c r="A866" s="9">
        <v>46134</v>
      </c>
      <c r="B866" s="1">
        <v>2026</v>
      </c>
      <c r="C866" s="8" t="s">
        <v>26</v>
      </c>
      <c r="D866" s="8" t="s">
        <v>134</v>
      </c>
      <c r="E866" s="1"/>
      <c r="F866" s="1" t="s">
        <v>19</v>
      </c>
      <c r="G866" s="8" t="s">
        <v>180</v>
      </c>
      <c r="H866" s="8">
        <v>8248438488</v>
      </c>
      <c r="I866" s="10" t="s">
        <v>30</v>
      </c>
      <c r="J866" s="8" t="s">
        <v>181</v>
      </c>
      <c r="K866" s="8" t="s">
        <v>27</v>
      </c>
      <c r="L866" s="8" t="s">
        <v>28</v>
      </c>
      <c r="M866" s="2" t="s">
        <v>146</v>
      </c>
      <c r="N866" s="6" t="s">
        <v>138</v>
      </c>
      <c r="O866" s="11">
        <v>550</v>
      </c>
      <c r="P866" s="2" t="s">
        <v>1088</v>
      </c>
      <c r="Q866" s="12" t="str">
        <f t="shared" si="188"/>
        <v>23</v>
      </c>
      <c r="R866" s="12" t="str">
        <f t="shared" si="189"/>
        <v>06</v>
      </c>
      <c r="S866" s="6" t="s">
        <v>129</v>
      </c>
      <c r="T866" s="1" t="s">
        <v>130</v>
      </c>
      <c r="U866" s="6" t="s">
        <v>148</v>
      </c>
      <c r="V866" s="1" t="s">
        <v>143</v>
      </c>
      <c r="W866" s="1" t="s">
        <v>133</v>
      </c>
      <c r="X866" s="5">
        <v>46234</v>
      </c>
      <c r="Y866" s="1">
        <f t="shared" si="190"/>
        <v>100</v>
      </c>
      <c r="Z866" s="5">
        <v>46234</v>
      </c>
      <c r="AA866" s="3"/>
      <c r="AB866" s="3"/>
      <c r="AD866" s="133" t="str">
        <f t="shared" si="182"/>
        <v>Closed In July</v>
      </c>
    </row>
    <row r="867" spans="1:30" hidden="1">
      <c r="A867" s="9">
        <v>46134</v>
      </c>
      <c r="B867" s="1">
        <v>2026</v>
      </c>
      <c r="C867" s="8" t="s">
        <v>26</v>
      </c>
      <c r="D867" s="8" t="s">
        <v>134</v>
      </c>
      <c r="E867" s="1"/>
      <c r="F867" s="1" t="s">
        <v>19</v>
      </c>
      <c r="G867" s="8" t="s">
        <v>180</v>
      </c>
      <c r="H867" s="8">
        <v>8248438488</v>
      </c>
      <c r="I867" s="10" t="s">
        <v>30</v>
      </c>
      <c r="J867" s="8" t="s">
        <v>181</v>
      </c>
      <c r="K867" s="8" t="s">
        <v>27</v>
      </c>
      <c r="L867" s="8" t="s">
        <v>28</v>
      </c>
      <c r="M867" s="2" t="s">
        <v>137</v>
      </c>
      <c r="N867" s="6" t="s">
        <v>138</v>
      </c>
      <c r="O867" s="11">
        <v>550</v>
      </c>
      <c r="P867" s="2" t="s">
        <v>1089</v>
      </c>
      <c r="Q867" s="12" t="str">
        <f t="shared" si="188"/>
        <v>23</v>
      </c>
      <c r="R867" s="12" t="str">
        <f t="shared" si="189"/>
        <v>07</v>
      </c>
      <c r="S867" s="6" t="s">
        <v>129</v>
      </c>
      <c r="T867" s="1" t="s">
        <v>130</v>
      </c>
      <c r="U867" s="6" t="s">
        <v>142</v>
      </c>
      <c r="V867" s="1" t="s">
        <v>143</v>
      </c>
      <c r="W867" s="1" t="s">
        <v>133</v>
      </c>
      <c r="X867" s="5">
        <v>46234</v>
      </c>
      <c r="Y867" s="1">
        <f t="shared" si="190"/>
        <v>100</v>
      </c>
      <c r="Z867" s="5">
        <v>46234</v>
      </c>
      <c r="AA867" s="3"/>
      <c r="AB867" s="3"/>
      <c r="AD867" s="133" t="str">
        <f t="shared" si="182"/>
        <v>Closed In July</v>
      </c>
    </row>
    <row r="868" spans="1:30" hidden="1">
      <c r="A868" s="9">
        <v>46134</v>
      </c>
      <c r="B868" s="1">
        <v>2026</v>
      </c>
      <c r="C868" s="8" t="s">
        <v>26</v>
      </c>
      <c r="D868" s="8" t="s">
        <v>134</v>
      </c>
      <c r="E868" s="1"/>
      <c r="F868" s="1" t="s">
        <v>19</v>
      </c>
      <c r="G868" s="8" t="s">
        <v>180</v>
      </c>
      <c r="H868" s="8">
        <v>8248438488</v>
      </c>
      <c r="I868" s="10" t="s">
        <v>30</v>
      </c>
      <c r="J868" s="8" t="s">
        <v>181</v>
      </c>
      <c r="K868" s="8" t="s">
        <v>27</v>
      </c>
      <c r="L868" s="8" t="s">
        <v>28</v>
      </c>
      <c r="M868" s="2" t="s">
        <v>146</v>
      </c>
      <c r="N868" s="6" t="s">
        <v>138</v>
      </c>
      <c r="O868" s="11">
        <v>550</v>
      </c>
      <c r="P868" s="2" t="s">
        <v>1090</v>
      </c>
      <c r="Q868" s="12" t="str">
        <f t="shared" si="188"/>
        <v>24</v>
      </c>
      <c r="R868" s="12" t="str">
        <f t="shared" si="189"/>
        <v>09</v>
      </c>
      <c r="S868" s="6" t="s">
        <v>129</v>
      </c>
      <c r="T868" s="1" t="s">
        <v>130</v>
      </c>
      <c r="U868" s="6" t="s">
        <v>148</v>
      </c>
      <c r="V868" s="1" t="s">
        <v>143</v>
      </c>
      <c r="W868" s="1" t="s">
        <v>133</v>
      </c>
      <c r="X868" s="5">
        <v>46234</v>
      </c>
      <c r="Y868" s="1">
        <f t="shared" si="190"/>
        <v>100</v>
      </c>
      <c r="Z868" s="5">
        <v>46234</v>
      </c>
      <c r="AA868" s="3"/>
      <c r="AB868" s="3"/>
      <c r="AD868" s="133" t="str">
        <f t="shared" si="182"/>
        <v>Closed In July</v>
      </c>
    </row>
    <row r="869" spans="1:30" hidden="1">
      <c r="A869" s="9">
        <v>46134</v>
      </c>
      <c r="B869" s="1">
        <v>2026</v>
      </c>
      <c r="C869" s="8" t="s">
        <v>26</v>
      </c>
      <c r="D869" s="8" t="s">
        <v>134</v>
      </c>
      <c r="E869" s="1"/>
      <c r="F869" s="1" t="s">
        <v>19</v>
      </c>
      <c r="G869" s="8" t="s">
        <v>180</v>
      </c>
      <c r="H869" s="8">
        <v>8248438488</v>
      </c>
      <c r="I869" s="10" t="s">
        <v>30</v>
      </c>
      <c r="J869" s="8" t="s">
        <v>181</v>
      </c>
      <c r="K869" s="8" t="s">
        <v>27</v>
      </c>
      <c r="L869" s="8" t="s">
        <v>28</v>
      </c>
      <c r="M869" s="2" t="s">
        <v>146</v>
      </c>
      <c r="N869" s="6" t="s">
        <v>138</v>
      </c>
      <c r="O869" s="11">
        <v>550</v>
      </c>
      <c r="P869" s="2" t="s">
        <v>1091</v>
      </c>
      <c r="Q869" s="12" t="str">
        <f t="shared" si="188"/>
        <v>23</v>
      </c>
      <c r="R869" s="12" t="str">
        <f t="shared" si="189"/>
        <v>07</v>
      </c>
      <c r="S869" s="6" t="s">
        <v>129</v>
      </c>
      <c r="T869" s="1" t="s">
        <v>130</v>
      </c>
      <c r="U869" s="6" t="s">
        <v>148</v>
      </c>
      <c r="V869" s="1" t="s">
        <v>143</v>
      </c>
      <c r="W869" s="1" t="s">
        <v>133</v>
      </c>
      <c r="X869" s="5">
        <v>46234</v>
      </c>
      <c r="Y869" s="1">
        <f t="shared" si="190"/>
        <v>100</v>
      </c>
      <c r="Z869" s="5">
        <v>46234</v>
      </c>
      <c r="AA869" s="3"/>
      <c r="AB869" s="3"/>
      <c r="AD869" s="133" t="str">
        <f t="shared" si="182"/>
        <v>Closed In July</v>
      </c>
    </row>
    <row r="870" spans="1:30" hidden="1">
      <c r="A870" s="9">
        <v>46134</v>
      </c>
      <c r="B870" s="1">
        <v>2026</v>
      </c>
      <c r="C870" s="8" t="s">
        <v>26</v>
      </c>
      <c r="D870" s="8" t="s">
        <v>134</v>
      </c>
      <c r="E870" s="1"/>
      <c r="F870" s="1" t="s">
        <v>19</v>
      </c>
      <c r="G870" s="8" t="s">
        <v>180</v>
      </c>
      <c r="H870" s="8">
        <v>8248438488</v>
      </c>
      <c r="I870" s="10" t="s">
        <v>30</v>
      </c>
      <c r="J870" s="8" t="s">
        <v>181</v>
      </c>
      <c r="K870" s="8" t="s">
        <v>27</v>
      </c>
      <c r="L870" s="8" t="s">
        <v>28</v>
      </c>
      <c r="M870" s="2" t="s">
        <v>146</v>
      </c>
      <c r="N870" s="6" t="s">
        <v>138</v>
      </c>
      <c r="O870" s="11">
        <v>550</v>
      </c>
      <c r="P870" s="2" t="s">
        <v>1092</v>
      </c>
      <c r="Q870" s="12" t="str">
        <f t="shared" si="188"/>
        <v>23</v>
      </c>
      <c r="R870" s="12" t="str">
        <f t="shared" si="189"/>
        <v>06</v>
      </c>
      <c r="S870" s="6" t="s">
        <v>129</v>
      </c>
      <c r="T870" s="1" t="s">
        <v>130</v>
      </c>
      <c r="U870" s="6" t="s">
        <v>148</v>
      </c>
      <c r="V870" s="1" t="s">
        <v>143</v>
      </c>
      <c r="W870" s="1" t="s">
        <v>133</v>
      </c>
      <c r="X870" s="5">
        <v>46234</v>
      </c>
      <c r="Y870" s="1">
        <f t="shared" si="190"/>
        <v>100</v>
      </c>
      <c r="Z870" s="5">
        <v>46234</v>
      </c>
      <c r="AA870" s="3"/>
      <c r="AB870" s="3"/>
      <c r="AD870" s="133" t="str">
        <f t="shared" si="182"/>
        <v>Closed In July</v>
      </c>
    </row>
    <row r="871" spans="1:30" hidden="1">
      <c r="A871" s="9">
        <v>46134</v>
      </c>
      <c r="B871" s="1">
        <v>2026</v>
      </c>
      <c r="C871" s="8" t="s">
        <v>26</v>
      </c>
      <c r="D871" s="8" t="s">
        <v>134</v>
      </c>
      <c r="E871" s="1"/>
      <c r="F871" s="1" t="s">
        <v>19</v>
      </c>
      <c r="G871" s="8" t="s">
        <v>180</v>
      </c>
      <c r="H871" s="8">
        <v>8248438488</v>
      </c>
      <c r="I871" s="10" t="s">
        <v>30</v>
      </c>
      <c r="J871" s="8" t="s">
        <v>181</v>
      </c>
      <c r="K871" s="8" t="s">
        <v>27</v>
      </c>
      <c r="L871" s="8" t="s">
        <v>28</v>
      </c>
      <c r="M871" s="2" t="s">
        <v>146</v>
      </c>
      <c r="N871" s="6" t="s">
        <v>138</v>
      </c>
      <c r="O871" s="11">
        <v>550</v>
      </c>
      <c r="P871" s="2" t="s">
        <v>1093</v>
      </c>
      <c r="Q871" s="12" t="str">
        <f t="shared" si="188"/>
        <v>23</v>
      </c>
      <c r="R871" s="12" t="str">
        <f t="shared" si="189"/>
        <v>06</v>
      </c>
      <c r="S871" s="6" t="s">
        <v>129</v>
      </c>
      <c r="T871" s="1" t="s">
        <v>130</v>
      </c>
      <c r="U871" s="6" t="s">
        <v>148</v>
      </c>
      <c r="V871" s="1" t="s">
        <v>143</v>
      </c>
      <c r="W871" s="1" t="s">
        <v>133</v>
      </c>
      <c r="X871" s="5">
        <v>46234</v>
      </c>
      <c r="Y871" s="1">
        <f t="shared" si="190"/>
        <v>100</v>
      </c>
      <c r="Z871" s="5">
        <v>46234</v>
      </c>
      <c r="AA871" s="3"/>
      <c r="AB871" s="3"/>
      <c r="AD871" s="133" t="str">
        <f t="shared" si="182"/>
        <v>Closed In July</v>
      </c>
    </row>
    <row r="872" spans="1:30" hidden="1">
      <c r="A872" s="9">
        <v>46134</v>
      </c>
      <c r="B872" s="1">
        <v>2026</v>
      </c>
      <c r="C872" s="8" t="s">
        <v>26</v>
      </c>
      <c r="D872" s="8" t="s">
        <v>134</v>
      </c>
      <c r="E872" s="1"/>
      <c r="F872" s="1" t="s">
        <v>19</v>
      </c>
      <c r="G872" s="8" t="s">
        <v>180</v>
      </c>
      <c r="H872" s="8">
        <v>8248438488</v>
      </c>
      <c r="I872" s="10" t="s">
        <v>30</v>
      </c>
      <c r="J872" s="8" t="s">
        <v>181</v>
      </c>
      <c r="K872" s="8" t="s">
        <v>27</v>
      </c>
      <c r="L872" s="8" t="s">
        <v>28</v>
      </c>
      <c r="M872" s="2" t="s">
        <v>137</v>
      </c>
      <c r="N872" s="6" t="s">
        <v>138</v>
      </c>
      <c r="O872" s="11">
        <v>550</v>
      </c>
      <c r="P872" s="2" t="s">
        <v>1094</v>
      </c>
      <c r="Q872" s="12" t="str">
        <f t="shared" si="188"/>
        <v>23</v>
      </c>
      <c r="R872" s="12" t="str">
        <f t="shared" si="189"/>
        <v>08</v>
      </c>
      <c r="S872" s="6" t="s">
        <v>129</v>
      </c>
      <c r="T872" s="1" t="s">
        <v>130</v>
      </c>
      <c r="U872" s="6" t="s">
        <v>142</v>
      </c>
      <c r="V872" s="1" t="s">
        <v>143</v>
      </c>
      <c r="W872" s="1" t="s">
        <v>133</v>
      </c>
      <c r="X872" s="5">
        <v>46234</v>
      </c>
      <c r="Y872" s="1">
        <f t="shared" si="190"/>
        <v>100</v>
      </c>
      <c r="Z872" s="5">
        <v>46234</v>
      </c>
      <c r="AA872" s="3"/>
      <c r="AB872" s="3"/>
      <c r="AD872" s="133" t="str">
        <f t="shared" si="182"/>
        <v>Closed In July</v>
      </c>
    </row>
    <row r="873" spans="1:30" hidden="1">
      <c r="A873" s="9">
        <v>46134</v>
      </c>
      <c r="B873" s="1">
        <v>2026</v>
      </c>
      <c r="C873" s="8" t="s">
        <v>26</v>
      </c>
      <c r="D873" s="8" t="s">
        <v>134</v>
      </c>
      <c r="E873" s="1"/>
      <c r="F873" s="1" t="s">
        <v>19</v>
      </c>
      <c r="G873" s="8" t="s">
        <v>180</v>
      </c>
      <c r="H873" s="8">
        <v>8248438488</v>
      </c>
      <c r="I873" s="10" t="s">
        <v>30</v>
      </c>
      <c r="J873" s="8" t="s">
        <v>181</v>
      </c>
      <c r="K873" s="8" t="s">
        <v>27</v>
      </c>
      <c r="L873" s="8" t="s">
        <v>28</v>
      </c>
      <c r="M873" s="2" t="s">
        <v>146</v>
      </c>
      <c r="N873" s="6" t="s">
        <v>138</v>
      </c>
      <c r="O873" s="11">
        <v>550</v>
      </c>
      <c r="P873" s="2" t="s">
        <v>1095</v>
      </c>
      <c r="Q873" s="12" t="str">
        <f t="shared" si="188"/>
        <v>23</v>
      </c>
      <c r="R873" s="12" t="str">
        <f t="shared" si="189"/>
        <v>06</v>
      </c>
      <c r="S873" s="6" t="s">
        <v>129</v>
      </c>
      <c r="T873" s="1" t="s">
        <v>130</v>
      </c>
      <c r="U873" s="6" t="s">
        <v>148</v>
      </c>
      <c r="V873" s="1" t="s">
        <v>143</v>
      </c>
      <c r="W873" s="1" t="s">
        <v>133</v>
      </c>
      <c r="X873" s="5">
        <v>46234</v>
      </c>
      <c r="Y873" s="1">
        <f t="shared" si="190"/>
        <v>100</v>
      </c>
      <c r="Z873" s="5">
        <v>46234</v>
      </c>
      <c r="AA873" s="3"/>
      <c r="AB873" s="3"/>
      <c r="AD873" s="133" t="str">
        <f t="shared" si="182"/>
        <v>Closed In July</v>
      </c>
    </row>
    <row r="874" spans="1:30" hidden="1">
      <c r="A874" s="9">
        <v>46134</v>
      </c>
      <c r="B874" s="1">
        <v>2026</v>
      </c>
      <c r="C874" s="8" t="s">
        <v>26</v>
      </c>
      <c r="D874" s="8" t="s">
        <v>134</v>
      </c>
      <c r="E874" s="1"/>
      <c r="F874" s="1" t="s">
        <v>19</v>
      </c>
      <c r="G874" s="8" t="s">
        <v>180</v>
      </c>
      <c r="H874" s="8">
        <v>8248438488</v>
      </c>
      <c r="I874" s="10" t="s">
        <v>30</v>
      </c>
      <c r="J874" s="8" t="s">
        <v>181</v>
      </c>
      <c r="K874" s="8" t="s">
        <v>27</v>
      </c>
      <c r="L874" s="8" t="s">
        <v>28</v>
      </c>
      <c r="M874" s="2" t="s">
        <v>146</v>
      </c>
      <c r="N874" s="6" t="s">
        <v>138</v>
      </c>
      <c r="O874" s="11">
        <v>550</v>
      </c>
      <c r="P874" s="2" t="s">
        <v>1096</v>
      </c>
      <c r="Q874" s="12" t="str">
        <f t="shared" si="188"/>
        <v>23</v>
      </c>
      <c r="R874" s="12" t="str">
        <f t="shared" si="189"/>
        <v>06</v>
      </c>
      <c r="S874" s="6" t="s">
        <v>129</v>
      </c>
      <c r="T874" s="1" t="s">
        <v>130</v>
      </c>
      <c r="U874" s="6" t="s">
        <v>148</v>
      </c>
      <c r="V874" s="1" t="s">
        <v>143</v>
      </c>
      <c r="W874" s="1" t="s">
        <v>133</v>
      </c>
      <c r="X874" s="5">
        <v>46234</v>
      </c>
      <c r="Y874" s="1">
        <f t="shared" si="190"/>
        <v>100</v>
      </c>
      <c r="Z874" s="5">
        <v>46234</v>
      </c>
      <c r="AA874" s="3"/>
      <c r="AB874" s="3"/>
      <c r="AD874" s="133" t="str">
        <f t="shared" si="182"/>
        <v>Closed In July</v>
      </c>
    </row>
    <row r="875" spans="1:30" hidden="1">
      <c r="A875" s="9">
        <v>46134</v>
      </c>
      <c r="B875" s="1">
        <v>2026</v>
      </c>
      <c r="C875" s="8" t="s">
        <v>26</v>
      </c>
      <c r="D875" s="8" t="s">
        <v>134</v>
      </c>
      <c r="E875" s="1"/>
      <c r="F875" s="1" t="s">
        <v>19</v>
      </c>
      <c r="G875" s="8" t="s">
        <v>180</v>
      </c>
      <c r="H875" s="8">
        <v>8248438488</v>
      </c>
      <c r="I875" s="10" t="s">
        <v>30</v>
      </c>
      <c r="J875" s="8" t="s">
        <v>181</v>
      </c>
      <c r="K875" s="8" t="s">
        <v>27</v>
      </c>
      <c r="L875" s="8" t="s">
        <v>28</v>
      </c>
      <c r="M875" s="2" t="s">
        <v>146</v>
      </c>
      <c r="N875" s="6" t="s">
        <v>138</v>
      </c>
      <c r="O875" s="11">
        <v>550</v>
      </c>
      <c r="P875" s="2" t="s">
        <v>1097</v>
      </c>
      <c r="Q875" s="12" t="str">
        <f t="shared" si="188"/>
        <v>23</v>
      </c>
      <c r="R875" s="12" t="str">
        <f t="shared" si="189"/>
        <v>06</v>
      </c>
      <c r="S875" s="6" t="s">
        <v>129</v>
      </c>
      <c r="T875" s="1" t="s">
        <v>130</v>
      </c>
      <c r="U875" s="6" t="s">
        <v>148</v>
      </c>
      <c r="V875" s="1" t="s">
        <v>143</v>
      </c>
      <c r="W875" s="1" t="s">
        <v>133</v>
      </c>
      <c r="X875" s="5">
        <v>46234</v>
      </c>
      <c r="Y875" s="1">
        <f t="shared" si="190"/>
        <v>100</v>
      </c>
      <c r="Z875" s="5">
        <v>46234</v>
      </c>
      <c r="AA875" s="3"/>
      <c r="AB875" s="3"/>
      <c r="AD875" s="133" t="str">
        <f t="shared" si="182"/>
        <v>Closed In July</v>
      </c>
    </row>
    <row r="876" spans="1:30" hidden="1">
      <c r="A876" s="9">
        <v>46134</v>
      </c>
      <c r="B876" s="1">
        <v>2026</v>
      </c>
      <c r="C876" s="8" t="s">
        <v>26</v>
      </c>
      <c r="D876" s="8" t="s">
        <v>134</v>
      </c>
      <c r="E876" s="1"/>
      <c r="F876" s="1" t="s">
        <v>19</v>
      </c>
      <c r="G876" s="8" t="s">
        <v>180</v>
      </c>
      <c r="H876" s="8">
        <v>8248438488</v>
      </c>
      <c r="I876" s="10" t="s">
        <v>30</v>
      </c>
      <c r="J876" s="8" t="s">
        <v>181</v>
      </c>
      <c r="K876" s="8" t="s">
        <v>27</v>
      </c>
      <c r="L876" s="8" t="s">
        <v>28</v>
      </c>
      <c r="M876" s="2" t="s">
        <v>308</v>
      </c>
      <c r="N876" s="1" t="s">
        <v>127</v>
      </c>
      <c r="O876" s="11">
        <v>550</v>
      </c>
      <c r="P876" s="2" t="s">
        <v>1098</v>
      </c>
      <c r="Q876" s="12" t="str">
        <f t="shared" si="188"/>
        <v>23</v>
      </c>
      <c r="R876" s="12" t="str">
        <f t="shared" si="189"/>
        <v>07</v>
      </c>
      <c r="S876" s="6" t="s">
        <v>129</v>
      </c>
      <c r="T876" s="1" t="s">
        <v>130</v>
      </c>
      <c r="U876" s="6" t="s">
        <v>310</v>
      </c>
      <c r="V876" s="6" t="s">
        <v>132</v>
      </c>
      <c r="W876" s="1" t="s">
        <v>133</v>
      </c>
      <c r="X876" s="5">
        <v>46234</v>
      </c>
      <c r="Y876" s="1">
        <f t="shared" si="190"/>
        <v>100</v>
      </c>
      <c r="Z876" s="5">
        <v>46234</v>
      </c>
      <c r="AA876" s="3"/>
      <c r="AB876" s="3"/>
      <c r="AD876" s="133" t="str">
        <f t="shared" si="182"/>
        <v>Closed In July</v>
      </c>
    </row>
    <row r="877" spans="1:30" hidden="1">
      <c r="A877" s="9">
        <v>46134</v>
      </c>
      <c r="B877" s="1">
        <v>2026</v>
      </c>
      <c r="C877" s="8" t="s">
        <v>26</v>
      </c>
      <c r="D877" s="8" t="s">
        <v>134</v>
      </c>
      <c r="E877" s="1"/>
      <c r="F877" s="1" t="s">
        <v>19</v>
      </c>
      <c r="G877" s="8" t="s">
        <v>180</v>
      </c>
      <c r="H877" s="8">
        <v>8248438488</v>
      </c>
      <c r="I877" s="10" t="s">
        <v>30</v>
      </c>
      <c r="J877" s="8" t="s">
        <v>181</v>
      </c>
      <c r="K877" s="8" t="s">
        <v>27</v>
      </c>
      <c r="L877" s="8" t="s">
        <v>28</v>
      </c>
      <c r="M877" s="2" t="s">
        <v>146</v>
      </c>
      <c r="N877" s="6" t="s">
        <v>138</v>
      </c>
      <c r="O877" s="11">
        <v>550</v>
      </c>
      <c r="P877" s="2" t="s">
        <v>1099</v>
      </c>
      <c r="Q877" s="12" t="str">
        <f t="shared" si="188"/>
        <v>23</v>
      </c>
      <c r="R877" s="12" t="str">
        <f t="shared" si="189"/>
        <v>06</v>
      </c>
      <c r="S877" s="6" t="s">
        <v>129</v>
      </c>
      <c r="T877" s="1" t="s">
        <v>130</v>
      </c>
      <c r="U877" s="6" t="s">
        <v>148</v>
      </c>
      <c r="V877" s="1" t="s">
        <v>143</v>
      </c>
      <c r="W877" s="1" t="s">
        <v>133</v>
      </c>
      <c r="X877" s="5">
        <v>46234</v>
      </c>
      <c r="Y877" s="1">
        <f t="shared" si="190"/>
        <v>100</v>
      </c>
      <c r="Z877" s="5">
        <v>46234</v>
      </c>
      <c r="AA877" s="3"/>
      <c r="AB877" s="3"/>
      <c r="AD877" s="133" t="str">
        <f t="shared" si="182"/>
        <v>Closed In July</v>
      </c>
    </row>
    <row r="878" spans="1:30" hidden="1">
      <c r="A878" s="9">
        <v>46134</v>
      </c>
      <c r="B878" s="1">
        <v>2026</v>
      </c>
      <c r="C878" s="8" t="s">
        <v>26</v>
      </c>
      <c r="D878" s="8" t="s">
        <v>134</v>
      </c>
      <c r="E878" s="1"/>
      <c r="F878" s="1" t="s">
        <v>19</v>
      </c>
      <c r="G878" s="8" t="s">
        <v>180</v>
      </c>
      <c r="H878" s="8">
        <v>8248438488</v>
      </c>
      <c r="I878" s="10" t="s">
        <v>30</v>
      </c>
      <c r="J878" s="8" t="s">
        <v>181</v>
      </c>
      <c r="K878" s="8" t="s">
        <v>27</v>
      </c>
      <c r="L878" s="8" t="s">
        <v>28</v>
      </c>
      <c r="M878" s="2" t="s">
        <v>146</v>
      </c>
      <c r="N878" s="6" t="s">
        <v>138</v>
      </c>
      <c r="O878" s="11">
        <v>550</v>
      </c>
      <c r="P878" s="2" t="s">
        <v>1100</v>
      </c>
      <c r="Q878" s="12" t="str">
        <f t="shared" si="188"/>
        <v>23</v>
      </c>
      <c r="R878" s="12" t="str">
        <f t="shared" si="189"/>
        <v>06</v>
      </c>
      <c r="S878" s="6" t="s">
        <v>129</v>
      </c>
      <c r="T878" s="1" t="s">
        <v>130</v>
      </c>
      <c r="U878" s="6" t="s">
        <v>148</v>
      </c>
      <c r="V878" s="1" t="s">
        <v>143</v>
      </c>
      <c r="W878" s="1" t="s">
        <v>133</v>
      </c>
      <c r="X878" s="5">
        <v>46234</v>
      </c>
      <c r="Y878" s="1">
        <f t="shared" si="190"/>
        <v>100</v>
      </c>
      <c r="Z878" s="5">
        <v>46234</v>
      </c>
      <c r="AA878" s="3"/>
      <c r="AB878" s="3"/>
      <c r="AD878" s="133" t="str">
        <f t="shared" si="182"/>
        <v>Closed In July</v>
      </c>
    </row>
    <row r="879" spans="1:30" hidden="1">
      <c r="A879" s="9">
        <v>46134</v>
      </c>
      <c r="B879" s="1">
        <v>2026</v>
      </c>
      <c r="C879" s="8" t="s">
        <v>26</v>
      </c>
      <c r="D879" s="8" t="s">
        <v>134</v>
      </c>
      <c r="E879" s="1"/>
      <c r="F879" s="1" t="s">
        <v>19</v>
      </c>
      <c r="G879" s="8" t="s">
        <v>180</v>
      </c>
      <c r="H879" s="8">
        <v>8248438488</v>
      </c>
      <c r="I879" s="10" t="s">
        <v>30</v>
      </c>
      <c r="J879" s="8" t="s">
        <v>181</v>
      </c>
      <c r="K879" s="8" t="s">
        <v>27</v>
      </c>
      <c r="L879" s="8" t="s">
        <v>28</v>
      </c>
      <c r="M879" s="2" t="s">
        <v>146</v>
      </c>
      <c r="N879" s="6" t="s">
        <v>138</v>
      </c>
      <c r="O879" s="11">
        <v>550</v>
      </c>
      <c r="P879" s="2" t="s">
        <v>1101</v>
      </c>
      <c r="Q879" s="12" t="str">
        <f t="shared" si="188"/>
        <v>23</v>
      </c>
      <c r="R879" s="12" t="str">
        <f t="shared" si="189"/>
        <v>07</v>
      </c>
      <c r="S879" s="6" t="s">
        <v>129</v>
      </c>
      <c r="T879" s="1" t="s">
        <v>130</v>
      </c>
      <c r="U879" s="6" t="s">
        <v>148</v>
      </c>
      <c r="V879" s="1" t="s">
        <v>143</v>
      </c>
      <c r="W879" s="1" t="s">
        <v>133</v>
      </c>
      <c r="X879" s="5">
        <v>46234</v>
      </c>
      <c r="Y879" s="1">
        <f t="shared" si="190"/>
        <v>100</v>
      </c>
      <c r="Z879" s="5">
        <v>46234</v>
      </c>
      <c r="AA879" s="3"/>
      <c r="AB879" s="3"/>
      <c r="AD879" s="133" t="str">
        <f t="shared" si="182"/>
        <v>Closed In July</v>
      </c>
    </row>
    <row r="880" spans="1:30" hidden="1">
      <c r="A880" s="9">
        <v>46134</v>
      </c>
      <c r="B880" s="1">
        <v>2026</v>
      </c>
      <c r="C880" s="8" t="s">
        <v>26</v>
      </c>
      <c r="D880" s="8" t="s">
        <v>134</v>
      </c>
      <c r="E880" s="1"/>
      <c r="F880" s="1" t="s">
        <v>19</v>
      </c>
      <c r="G880" s="8" t="s">
        <v>180</v>
      </c>
      <c r="H880" s="8">
        <v>8248438488</v>
      </c>
      <c r="I880" s="10" t="s">
        <v>30</v>
      </c>
      <c r="J880" s="8" t="s">
        <v>181</v>
      </c>
      <c r="K880" s="8" t="s">
        <v>27</v>
      </c>
      <c r="L880" s="8" t="s">
        <v>28</v>
      </c>
      <c r="M880" s="2" t="s">
        <v>146</v>
      </c>
      <c r="N880" s="6" t="s">
        <v>138</v>
      </c>
      <c r="O880" s="11">
        <v>550</v>
      </c>
      <c r="P880" s="2" t="s">
        <v>1102</v>
      </c>
      <c r="Q880" s="12" t="str">
        <f t="shared" si="188"/>
        <v>23</v>
      </c>
      <c r="R880" s="12" t="str">
        <f t="shared" si="189"/>
        <v>07</v>
      </c>
      <c r="S880" s="6" t="s">
        <v>129</v>
      </c>
      <c r="T880" s="1" t="s">
        <v>130</v>
      </c>
      <c r="U880" s="6" t="s">
        <v>148</v>
      </c>
      <c r="V880" s="1" t="s">
        <v>143</v>
      </c>
      <c r="W880" s="1" t="s">
        <v>133</v>
      </c>
      <c r="X880" s="5">
        <v>46234</v>
      </c>
      <c r="Y880" s="1">
        <f t="shared" si="190"/>
        <v>100</v>
      </c>
      <c r="Z880" s="5">
        <v>46234</v>
      </c>
      <c r="AA880" s="3"/>
      <c r="AB880" s="3"/>
      <c r="AD880" s="133" t="str">
        <f t="shared" si="182"/>
        <v>Closed In July</v>
      </c>
    </row>
    <row r="881" spans="1:30" hidden="1">
      <c r="A881" s="9">
        <v>46134</v>
      </c>
      <c r="B881" s="1">
        <v>2026</v>
      </c>
      <c r="C881" s="8" t="s">
        <v>26</v>
      </c>
      <c r="D881" s="8" t="s">
        <v>134</v>
      </c>
      <c r="E881" s="1"/>
      <c r="F881" s="1" t="s">
        <v>19</v>
      </c>
      <c r="G881" s="8" t="s">
        <v>180</v>
      </c>
      <c r="H881" s="8">
        <v>8248438488</v>
      </c>
      <c r="I881" s="10" t="s">
        <v>30</v>
      </c>
      <c r="J881" s="8" t="s">
        <v>181</v>
      </c>
      <c r="K881" s="8" t="s">
        <v>27</v>
      </c>
      <c r="L881" s="8" t="s">
        <v>28</v>
      </c>
      <c r="M881" s="2" t="s">
        <v>146</v>
      </c>
      <c r="N881" s="6" t="s">
        <v>138</v>
      </c>
      <c r="O881" s="11">
        <v>550</v>
      </c>
      <c r="P881" s="2" t="s">
        <v>1103</v>
      </c>
      <c r="Q881" s="12" t="str">
        <f t="shared" si="188"/>
        <v>23</v>
      </c>
      <c r="R881" s="12" t="str">
        <f t="shared" si="189"/>
        <v>06</v>
      </c>
      <c r="S881" s="6" t="s">
        <v>129</v>
      </c>
      <c r="T881" s="1" t="s">
        <v>130</v>
      </c>
      <c r="U881" s="6" t="s">
        <v>148</v>
      </c>
      <c r="V881" s="1" t="s">
        <v>143</v>
      </c>
      <c r="W881" s="1" t="s">
        <v>133</v>
      </c>
      <c r="X881" s="5">
        <v>46234</v>
      </c>
      <c r="Y881" s="1">
        <f t="shared" si="190"/>
        <v>100</v>
      </c>
      <c r="Z881" s="5">
        <v>46234</v>
      </c>
      <c r="AA881" s="3"/>
      <c r="AB881" s="3"/>
      <c r="AD881" s="133" t="str">
        <f t="shared" si="182"/>
        <v>Closed In July</v>
      </c>
    </row>
    <row r="882" spans="1:30" hidden="1">
      <c r="A882" s="21">
        <v>46221</v>
      </c>
      <c r="B882" s="1">
        <v>2026</v>
      </c>
      <c r="C882" s="33" t="s">
        <v>62</v>
      </c>
      <c r="D882" s="34" t="s">
        <v>123</v>
      </c>
      <c r="E882" s="1"/>
      <c r="F882" s="1" t="s">
        <v>19</v>
      </c>
      <c r="G882" s="8" t="s">
        <v>619</v>
      </c>
      <c r="H882" s="18">
        <v>8828840014</v>
      </c>
      <c r="I882" s="10" t="s">
        <v>96</v>
      </c>
      <c r="J882" s="8" t="s">
        <v>1104</v>
      </c>
      <c r="K882" s="8" t="s">
        <v>94</v>
      </c>
      <c r="L882" s="8" t="s">
        <v>95</v>
      </c>
      <c r="M882" s="2" t="s">
        <v>276</v>
      </c>
      <c r="N882" s="6" t="s">
        <v>277</v>
      </c>
      <c r="O882" s="8">
        <v>610</v>
      </c>
      <c r="P882" s="2" t="s">
        <v>1105</v>
      </c>
      <c r="Q882" s="12" t="str">
        <f t="shared" ref="Q882" si="191">MID(P882,5,2)</f>
        <v>25</v>
      </c>
      <c r="R882" s="12" t="str">
        <f t="shared" ref="R882" si="192">MID(P882,7,2)</f>
        <v>09</v>
      </c>
      <c r="S882" s="6" t="s">
        <v>140</v>
      </c>
      <c r="T882" s="1" t="s">
        <v>474</v>
      </c>
      <c r="U882" s="6" t="s">
        <v>279</v>
      </c>
      <c r="V882" s="6" t="s">
        <v>258</v>
      </c>
      <c r="W882" s="1" t="s">
        <v>259</v>
      </c>
      <c r="X882" s="5">
        <v>46234</v>
      </c>
      <c r="Y882" s="1">
        <f t="shared" si="190"/>
        <v>13</v>
      </c>
      <c r="Z882" s="5">
        <v>46234</v>
      </c>
      <c r="AA882" s="3"/>
      <c r="AB882" s="3"/>
      <c r="AD882" s="133" t="str">
        <f t="shared" si="182"/>
        <v>Closed In July</v>
      </c>
    </row>
  </sheetData>
  <autoFilter ref="A1:AB882" xr:uid="{51917862-2E36-4497-80EB-EC7EF1AC24F3}">
    <filterColumn colId="19">
      <filters>
        <filter val="P1-PEL"/>
      </filters>
    </filterColumn>
  </autoFilter>
  <conditionalFormatting sqref="I2">
    <cfRule type="duplicateValues" dxfId="45" priority="40"/>
  </conditionalFormatting>
  <conditionalFormatting sqref="I292:I313">
    <cfRule type="duplicateValues" dxfId="44" priority="31"/>
    <cfRule type="duplicateValues" dxfId="43" priority="32"/>
    <cfRule type="duplicateValues" dxfId="42" priority="33"/>
    <cfRule type="duplicateValues" dxfId="41" priority="34"/>
    <cfRule type="duplicateValues" dxfId="40" priority="35"/>
    <cfRule type="duplicateValues" dxfId="39" priority="36"/>
    <cfRule type="duplicateValues" dxfId="38" priority="37"/>
    <cfRule type="duplicateValues" dxfId="37" priority="38"/>
    <cfRule type="duplicateValues" dxfId="36" priority="39"/>
  </conditionalFormatting>
  <conditionalFormatting sqref="I322">
    <cfRule type="duplicateValues" dxfId="35" priority="26"/>
    <cfRule type="duplicateValues" dxfId="34" priority="27"/>
    <cfRule type="duplicateValues" dxfId="33" priority="28"/>
  </conditionalFormatting>
  <conditionalFormatting sqref="I361">
    <cfRule type="duplicateValues" dxfId="32" priority="24"/>
    <cfRule type="duplicateValues" dxfId="31" priority="23"/>
    <cfRule type="duplicateValues" dxfId="30" priority="25"/>
  </conditionalFormatting>
  <conditionalFormatting sqref="I499">
    <cfRule type="duplicateValues" dxfId="29" priority="14"/>
    <cfRule type="duplicateValues" dxfId="28" priority="15"/>
    <cfRule type="duplicateValues" dxfId="27" priority="16"/>
    <cfRule type="duplicateValues" dxfId="26" priority="17"/>
    <cfRule type="duplicateValues" dxfId="25" priority="18"/>
    <cfRule type="duplicateValues" dxfId="24" priority="19"/>
    <cfRule type="duplicateValues" dxfId="23" priority="20"/>
    <cfRule type="duplicateValues" dxfId="22" priority="21"/>
    <cfRule type="duplicateValues" dxfId="21" priority="22"/>
    <cfRule type="duplicateValues" dxfId="20" priority="12"/>
    <cfRule type="duplicateValues" dxfId="19" priority="13"/>
  </conditionalFormatting>
  <conditionalFormatting sqref="I500:I501">
    <cfRule type="duplicateValues" dxfId="18" priority="4"/>
    <cfRule type="duplicateValues" dxfId="17" priority="5"/>
    <cfRule type="duplicateValues" dxfId="16" priority="7"/>
    <cfRule type="duplicateValues" dxfId="15" priority="8"/>
    <cfRule type="duplicateValues" dxfId="14" priority="9"/>
    <cfRule type="duplicateValues" dxfId="13" priority="10"/>
    <cfRule type="duplicateValues" dxfId="12" priority="11"/>
    <cfRule type="duplicateValues" dxfId="11" priority="6"/>
    <cfRule type="duplicateValues" dxfId="10" priority="1"/>
    <cfRule type="duplicateValues" dxfId="9" priority="2"/>
    <cfRule type="duplicateValues" dxfId="8" priority="3"/>
  </conditionalFormatting>
  <conditionalFormatting sqref="I502:I529 I1:I313 I323:I352 I531:I559 I564:I687 I698:I773 I782:I813 I817:I881 I883:I1048576 I364:I418">
    <cfRule type="duplicateValues" dxfId="7" priority="29"/>
    <cfRule type="duplicateValues" dxfId="6" priority="30"/>
  </conditionalFormatting>
  <conditionalFormatting sqref="I883:I1048576 I1 I265:I276">
    <cfRule type="duplicateValues" dxfId="5" priority="41"/>
    <cfRule type="duplicateValues" dxfId="4" priority="74"/>
    <cfRule type="duplicateValues" dxfId="3" priority="80"/>
    <cfRule type="duplicateValues" dxfId="2" priority="94"/>
  </conditionalFormatting>
  <conditionalFormatting sqref="P883:P1048576 P499 P1:P2 P361 P530 P689:P696">
    <cfRule type="duplicateValues" dxfId="1" priority="62"/>
    <cfRule type="duplicateValues" dxfId="0" priority="11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MSI Report</vt:lpstr>
      <vt:lpstr>Daily Report July -26 </vt:lpstr>
      <vt:lpstr>Monthly Report July-26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Service Coordinator</dc:creator>
  <cp:keywords/>
  <dc:description/>
  <cp:lastModifiedBy>SERVICE DEPARTMENT</cp:lastModifiedBy>
  <cp:revision/>
  <dcterms:created xsi:type="dcterms:W3CDTF">2026-05-05T10:35:14Z</dcterms:created>
  <dcterms:modified xsi:type="dcterms:W3CDTF">2026-08-06T05:49:37Z</dcterms:modified>
  <cp:category/>
  <cp:contentStatus/>
</cp:coreProperties>
</file>